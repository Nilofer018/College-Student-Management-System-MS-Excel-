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D0FE15A2AC1EB3DD/ドキュメント/"/>
    </mc:Choice>
  </mc:AlternateContent>
  <xr:revisionPtr revIDLastSave="414" documentId="8_{E66B1F04-3BC0-4FC3-95AB-2979EC1302BC}" xr6:coauthVersionLast="47" xr6:coauthVersionMax="47" xr10:uidLastSave="{47ADC371-85F1-40DD-924D-91E04BDF3F9D}"/>
  <bookViews>
    <workbookView xWindow="-110" yWindow="-110" windowWidth="19420" windowHeight="10300" activeTab="1" xr2:uid="{6F75C8D8-CFD8-4F06-B3F5-D58366B96BE0}"/>
  </bookViews>
  <sheets>
    <sheet name="college_student_management_data" sheetId="1" r:id="rId1"/>
    <sheet name="Sheet1" sheetId="2" r:id="rId2"/>
  </sheets>
  <definedNames>
    <definedName name="_xlnm._FilterDatabase" localSheetId="0" hidden="1">college_student_management_data!$V$9:$V$10</definedName>
    <definedName name="Slicer_age">#N/A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21" i="1" l="1"/>
  <c r="V17" i="1"/>
  <c r="V9" i="1"/>
  <c r="E1547" i="1" l="1"/>
</calcChain>
</file>

<file path=xl/sharedStrings.xml><?xml version="1.0" encoding="utf-8"?>
<sst xmlns="http://schemas.openxmlformats.org/spreadsheetml/2006/main" count="7798" uniqueCount="1579">
  <si>
    <t>student_id</t>
  </si>
  <si>
    <t>age</t>
  </si>
  <si>
    <t>gender</t>
  </si>
  <si>
    <t>major</t>
  </si>
  <si>
    <t>GPA</t>
  </si>
  <si>
    <t>course_load</t>
  </si>
  <si>
    <t>avg_course_grade</t>
  </si>
  <si>
    <t>attendance_rate</t>
  </si>
  <si>
    <t>enrollment_status</t>
  </si>
  <si>
    <t>lms_logins_past_month</t>
  </si>
  <si>
    <t>avg_session_duration_minutes</t>
  </si>
  <si>
    <t>assignment_submission_rate</t>
  </si>
  <si>
    <t>forum_participation_count</t>
  </si>
  <si>
    <t>video_completion_rate</t>
  </si>
  <si>
    <t>risk_level</t>
  </si>
  <si>
    <t>S001</t>
  </si>
  <si>
    <t>Other</t>
  </si>
  <si>
    <t>Computer Science</t>
  </si>
  <si>
    <t>Graduated</t>
  </si>
  <si>
    <t>High</t>
  </si>
  <si>
    <t>S002</t>
  </si>
  <si>
    <t>Male</t>
  </si>
  <si>
    <t>Arts</t>
  </si>
  <si>
    <t>Leave</t>
  </si>
  <si>
    <t>Medium</t>
  </si>
  <si>
    <t>S003</t>
  </si>
  <si>
    <t>S004</t>
  </si>
  <si>
    <t>S005</t>
  </si>
  <si>
    <t>Active</t>
  </si>
  <si>
    <t>S006</t>
  </si>
  <si>
    <t>Engineering</t>
  </si>
  <si>
    <t>S007</t>
  </si>
  <si>
    <t>Female</t>
  </si>
  <si>
    <t>S008</t>
  </si>
  <si>
    <t>S009</t>
  </si>
  <si>
    <t>S010</t>
  </si>
  <si>
    <t>S011</t>
  </si>
  <si>
    <t>S012</t>
  </si>
  <si>
    <t>S013</t>
  </si>
  <si>
    <t>S014</t>
  </si>
  <si>
    <t>S015</t>
  </si>
  <si>
    <t>Low</t>
  </si>
  <si>
    <t>S016</t>
  </si>
  <si>
    <t>S017</t>
  </si>
  <si>
    <t>S018</t>
  </si>
  <si>
    <t>S019</t>
  </si>
  <si>
    <t>Business</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</si>
  <si>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</si>
  <si>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</si>
  <si>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</si>
  <si>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</si>
  <si>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</si>
  <si>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</si>
  <si>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</si>
  <si>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</si>
  <si>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</si>
  <si>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</si>
  <si>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</si>
  <si>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</si>
  <si>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</si>
  <si>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</si>
  <si>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</si>
  <si>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</si>
  <si>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</si>
  <si>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</si>
  <si>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</si>
  <si>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</si>
  <si>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</si>
  <si>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</si>
  <si>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</si>
  <si>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</si>
  <si>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</si>
  <si>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</si>
  <si>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</si>
  <si>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</si>
  <si>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</si>
  <si>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</si>
  <si>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</si>
  <si>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</si>
  <si>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</si>
  <si>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</si>
  <si>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</si>
  <si>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</si>
  <si>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</si>
  <si>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</si>
  <si>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</si>
  <si>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</si>
  <si>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</si>
  <si>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</si>
  <si>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</si>
  <si>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</si>
  <si>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</si>
  <si>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</si>
  <si>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</si>
  <si>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</si>
  <si>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</si>
  <si>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</si>
  <si>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</si>
  <si>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</si>
  <si>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S072</t>
  </si>
  <si>
    <t>S073</t>
  </si>
  <si>
    <t>S074</t>
  </si>
  <si>
    <t>S075</t>
  </si>
  <si>
    <t>S076</t>
  </si>
  <si>
    <t>S077</t>
  </si>
  <si>
    <t>S078</t>
  </si>
  <si>
    <t>S079</t>
  </si>
  <si>
    <t>S080</t>
  </si>
  <si>
    <t>S081</t>
  </si>
  <si>
    <t>S082</t>
  </si>
  <si>
    <t>S083</t>
  </si>
  <si>
    <t>S084</t>
  </si>
  <si>
    <t>S085</t>
  </si>
  <si>
    <t>S086</t>
  </si>
  <si>
    <t>S087</t>
  </si>
  <si>
    <t>S088</t>
  </si>
  <si>
    <t>S089</t>
  </si>
  <si>
    <t>S090</t>
  </si>
  <si>
    <t>S091</t>
  </si>
  <si>
    <t>S092</t>
  </si>
  <si>
    <t>S093</t>
  </si>
  <si>
    <t>S094</t>
  </si>
  <si>
    <t>S095</t>
  </si>
  <si>
    <t>S096</t>
  </si>
  <si>
    <t>S097</t>
  </si>
  <si>
    <t>S098</t>
  </si>
  <si>
    <t>S099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</si>
  <si>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</si>
  <si>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</si>
  <si>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</si>
  <si>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</si>
  <si>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</si>
  <si>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</si>
  <si>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</si>
  <si>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</si>
  <si>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</si>
  <si>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</si>
  <si>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</si>
  <si>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</si>
  <si>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</si>
  <si>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</si>
  <si>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</si>
  <si>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</si>
  <si>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</si>
  <si>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</si>
  <si>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</si>
  <si>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</si>
  <si>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</si>
  <si>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</si>
  <si>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</si>
  <si>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</si>
  <si>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</si>
  <si>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</si>
  <si>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</si>
  <si>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</si>
  <si>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</si>
  <si>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</si>
  <si>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</si>
  <si>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</si>
  <si>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</si>
  <si>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</si>
  <si>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</si>
  <si>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</si>
  <si>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</si>
  <si>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</si>
  <si>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</si>
  <si>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</si>
  <si>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</si>
  <si>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</si>
  <si>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</si>
  <si>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</si>
  <si>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</si>
  <si>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</si>
  <si>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</si>
  <si>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</si>
  <si>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</si>
  <si>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</si>
  <si>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</si>
  <si>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</si>
  <si>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</si>
  <si>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</si>
  <si>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</si>
  <si>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</si>
  <si>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</si>
  <si>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</si>
  <si>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</si>
  <si>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</si>
  <si>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</si>
  <si>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</si>
  <si>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</si>
  <si>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</si>
  <si>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</si>
  <si>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</si>
  <si>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</si>
  <si>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</si>
  <si>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</si>
  <si>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</si>
  <si>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</si>
  <si>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</si>
  <si>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</si>
  <si>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</si>
  <si>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</si>
  <si>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</si>
  <si>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</si>
  <si>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</si>
  <si>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</si>
  <si>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</si>
  <si>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</si>
  <si>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</si>
  <si>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</si>
  <si>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</si>
  <si>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</si>
  <si>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</si>
  <si>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</si>
  <si>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</si>
  <si>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</si>
  <si>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</si>
  <si>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</si>
  <si>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</si>
  <si>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</si>
  <si>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</si>
  <si>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</si>
  <si>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</si>
  <si>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</si>
  <si>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</si>
  <si>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</si>
  <si>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</si>
  <si>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</si>
  <si>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</si>
  <si>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</si>
  <si>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</si>
  <si>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</si>
  <si>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</si>
  <si>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</si>
  <si>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</si>
  <si>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</si>
  <si>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</si>
  <si>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</si>
  <si>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</si>
  <si>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</si>
  <si>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</si>
  <si>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</si>
  <si>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</si>
  <si>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</si>
  <si>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</si>
  <si>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</si>
  <si>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</si>
  <si>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</si>
  <si>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</si>
  <si>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</si>
  <si>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</si>
  <si>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</si>
  <si>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</si>
  <si>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</si>
  <si>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</si>
  <si>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</si>
  <si>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</si>
  <si>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</si>
  <si>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</si>
  <si>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</si>
  <si>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</si>
  <si>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</si>
  <si>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</si>
  <si>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</si>
  <si>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</si>
  <si>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</si>
  <si>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</si>
  <si>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</si>
  <si>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</si>
  <si>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</si>
  <si>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</si>
  <si>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</si>
  <si>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</si>
  <si>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</si>
  <si>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</si>
  <si>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</si>
  <si>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</si>
  <si>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</si>
  <si>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</si>
  <si>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</si>
  <si>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</si>
  <si>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</si>
  <si>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</si>
  <si>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</si>
  <si>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</si>
  <si>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</si>
  <si>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</si>
  <si>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</si>
  <si>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</si>
  <si>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</si>
  <si>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</si>
  <si>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</si>
  <si>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</si>
  <si>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</si>
  <si>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</si>
  <si>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</si>
  <si>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</si>
  <si>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</si>
  <si>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</si>
  <si>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</si>
  <si>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</si>
  <si>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</si>
  <si>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</si>
  <si>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</si>
  <si>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</si>
  <si>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</si>
  <si>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</si>
  <si>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</si>
  <si>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</si>
  <si>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</si>
  <si>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</si>
  <si>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</si>
  <si>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</si>
  <si>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</si>
  <si>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</si>
  <si>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</si>
  <si>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</si>
  <si>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</si>
  <si>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</si>
  <si>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</si>
  <si>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</si>
  <si>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</si>
  <si>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</si>
  <si>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</si>
  <si>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</si>
  <si>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</si>
  <si>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</si>
  <si>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</si>
  <si>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</si>
  <si>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</si>
  <si>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</si>
  <si>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</si>
  <si>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</si>
  <si>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</si>
  <si>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</si>
  <si>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</si>
  <si>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</si>
  <si>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</si>
  <si>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</si>
  <si>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</si>
  <si>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</si>
  <si>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</si>
  <si>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</si>
  <si>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</si>
  <si>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</si>
  <si>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</si>
  <si>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</si>
  <si>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</si>
  <si>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</si>
  <si>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</si>
  <si>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</si>
  <si>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</si>
  <si>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</si>
  <si>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</si>
  <si>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</si>
  <si>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</si>
  <si>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</si>
  <si>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</si>
  <si>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</si>
  <si>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</si>
  <si>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</si>
  <si>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</si>
  <si>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</si>
  <si>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</si>
  <si>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</si>
  <si>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</si>
  <si>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</si>
  <si>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</si>
  <si>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</si>
  <si>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</si>
  <si>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</si>
  <si>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</si>
  <si>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</si>
  <si>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</si>
  <si>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</si>
  <si>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</si>
  <si>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</si>
  <si>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</si>
  <si>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</si>
  <si>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</si>
  <si>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</si>
  <si>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</si>
  <si>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</si>
  <si>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</si>
  <si>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</si>
  <si>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</si>
  <si>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</si>
  <si>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</si>
  <si>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</si>
  <si>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</si>
  <si>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</si>
  <si>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</si>
  <si>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</si>
  <si>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</si>
  <si>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</si>
  <si>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</si>
  <si>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</si>
  <si>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</si>
  <si>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</si>
  <si>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</si>
  <si>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</si>
  <si>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</si>
  <si>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</si>
  <si>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</si>
  <si>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</si>
  <si>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</si>
  <si>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</si>
  <si>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</si>
  <si>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</si>
  <si>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</si>
  <si>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</si>
  <si>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</si>
  <si>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</si>
  <si>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</si>
  <si>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</si>
  <si>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</si>
  <si>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</si>
  <si>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</si>
  <si>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</si>
  <si>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</si>
  <si>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</si>
  <si>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</si>
  <si>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</si>
  <si>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</si>
  <si>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</si>
  <si>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</si>
  <si>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</si>
  <si>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</si>
  <si>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</si>
  <si>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</si>
  <si>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</si>
  <si>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</si>
  <si>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</si>
  <si>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</si>
  <si>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</si>
  <si>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</si>
  <si>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</si>
  <si>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</si>
  <si>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</si>
  <si>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</si>
  <si>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</si>
  <si>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</si>
  <si>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</si>
  <si>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</si>
  <si>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</si>
  <si>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</si>
  <si>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</si>
  <si>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</si>
  <si>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</si>
  <si>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</si>
  <si>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</si>
  <si>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</si>
  <si>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</si>
  <si>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</si>
  <si>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</si>
  <si>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</si>
  <si>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</si>
  <si>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</si>
  <si>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</si>
  <si>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</si>
  <si>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</si>
  <si>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</si>
  <si>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</si>
  <si>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</si>
  <si>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</si>
  <si>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</si>
  <si>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</si>
  <si>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</si>
  <si>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</si>
  <si>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</si>
  <si>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</si>
  <si>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</si>
  <si>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</si>
  <si>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</si>
  <si>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</si>
  <si>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</si>
  <si>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</si>
  <si>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</si>
  <si>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</si>
  <si>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</si>
  <si>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</si>
  <si>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</si>
  <si>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</si>
  <si>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</si>
  <si>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</si>
  <si>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</si>
  <si>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</si>
  <si>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</si>
  <si>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</si>
  <si>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</si>
  <si>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</si>
  <si>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</si>
  <si>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</si>
  <si>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</si>
  <si>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</si>
  <si>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</si>
  <si>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</si>
  <si>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</si>
  <si>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</si>
  <si>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</si>
  <si>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</si>
  <si>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</si>
  <si>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</si>
  <si>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</si>
  <si>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</si>
  <si>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</si>
  <si>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</si>
  <si>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</si>
  <si>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</si>
  <si>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</si>
  <si>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</si>
  <si>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</si>
  <si>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</si>
  <si>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</si>
  <si>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</si>
  <si>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</si>
  <si>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</si>
  <si>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</si>
  <si>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</si>
  <si>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</si>
  <si>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</si>
  <si>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</si>
  <si>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</si>
  <si>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</si>
  <si>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</si>
  <si>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</si>
  <si>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</si>
  <si>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</si>
  <si>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</si>
  <si>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</si>
  <si>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</si>
  <si>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</si>
  <si>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</si>
  <si>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</si>
  <si>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</si>
  <si>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</si>
  <si>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</si>
  <si>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</si>
  <si>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</si>
  <si>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</si>
  <si>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</si>
  <si>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</si>
  <si>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</si>
  <si>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</si>
  <si>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</si>
  <si>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</si>
  <si>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</si>
  <si>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</si>
  <si>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</si>
  <si>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</si>
  <si>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</si>
  <si>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</si>
  <si>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</si>
  <si>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</si>
  <si>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</si>
  <si>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</si>
  <si>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</si>
  <si>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</si>
  <si>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</si>
  <si>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</si>
  <si>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</si>
  <si>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</si>
  <si>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</si>
  <si>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</si>
  <si>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</si>
  <si>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</si>
  <si>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</si>
  <si>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</si>
  <si>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</si>
  <si>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</si>
  <si>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</si>
  <si>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</si>
  <si>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</si>
  <si>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</si>
  <si>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</si>
  <si>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</si>
  <si>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</si>
  <si>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</si>
  <si>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</si>
  <si>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</si>
  <si>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</si>
  <si>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</si>
  <si>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</si>
  <si>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</si>
  <si>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</si>
  <si>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</si>
  <si>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</si>
  <si>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</si>
  <si>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</si>
  <si>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</si>
  <si>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</si>
  <si>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</si>
  <si>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</si>
  <si>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</si>
  <si>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</si>
  <si>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</si>
  <si>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</si>
  <si>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</si>
  <si>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</si>
  <si>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</si>
  <si>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</si>
  <si>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</si>
  <si>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</si>
  <si>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</si>
  <si>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</si>
  <si>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</si>
  <si>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</si>
  <si>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</si>
  <si>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</si>
  <si>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</si>
  <si>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</si>
  <si>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</si>
  <si>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</si>
  <si>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</si>
  <si>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</si>
  <si>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</si>
  <si>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</si>
  <si>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</si>
  <si>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</si>
  <si>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</si>
  <si>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</si>
  <si>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</si>
  <si>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</si>
  <si>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</si>
  <si>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</si>
  <si>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</si>
  <si>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</si>
  <si>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</si>
  <si>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</si>
  <si>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</si>
  <si>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</si>
  <si>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</si>
  <si>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</si>
  <si>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</si>
  <si>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</si>
  <si>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</si>
  <si>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</si>
  <si>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</si>
  <si>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</si>
  <si>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</si>
  <si>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</si>
  <si>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</si>
  <si>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</si>
  <si>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</si>
  <si>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</si>
  <si>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</si>
  <si>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</si>
  <si>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</si>
  <si>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</si>
  <si>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</si>
  <si>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</si>
  <si>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</si>
  <si>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</si>
  <si>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</si>
  <si>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</si>
  <si>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</si>
  <si>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</si>
  <si>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</si>
  <si>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</si>
  <si>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</si>
  <si>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</si>
  <si>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</si>
  <si>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</si>
  <si>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</si>
  <si>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</si>
  <si>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</si>
  <si>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</si>
  <si>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</si>
  <si>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</si>
  <si>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</si>
  <si>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</si>
  <si>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</si>
  <si>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</si>
  <si>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</si>
  <si>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</si>
  <si>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</si>
  <si>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</si>
  <si>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</si>
  <si>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</si>
  <si>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</si>
  <si>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</si>
  <si>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</si>
  <si>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</si>
  <si>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</si>
  <si>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</si>
  <si>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</si>
  <si>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</si>
  <si>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</si>
  <si>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</si>
  <si>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</si>
  <si>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</si>
  <si>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</si>
  <si>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</si>
  <si>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</si>
  <si>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</si>
  <si>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</si>
  <si>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</si>
  <si>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</si>
  <si>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</si>
  <si>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</si>
  <si>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</si>
  <si>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</si>
  <si>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</si>
  <si>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</si>
  <si>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</si>
  <si>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</si>
  <si>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</si>
  <si>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</si>
  <si>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</si>
  <si>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</si>
  <si>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</si>
  <si>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</si>
  <si>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</si>
  <si>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</si>
  <si>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</si>
  <si>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</si>
  <si>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</si>
  <si>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</si>
  <si>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</si>
  <si>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</si>
  <si>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</si>
  <si>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</si>
  <si>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</si>
  <si>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</si>
  <si>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</si>
  <si>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</si>
  <si>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</si>
  <si>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</si>
  <si>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</si>
  <si>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</si>
  <si>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</si>
  <si>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</si>
  <si>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</si>
  <si>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</si>
  <si>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</si>
  <si>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</si>
  <si>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</si>
  <si>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</si>
  <si>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</si>
  <si>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</si>
  <si>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</si>
  <si>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</si>
  <si>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</si>
  <si>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</si>
  <si>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</si>
  <si>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</si>
  <si>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</si>
  <si>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</si>
  <si>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</si>
  <si>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</si>
  <si>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</si>
  <si>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</si>
  <si>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</si>
  <si>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</si>
  <si>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</si>
  <si>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</si>
  <si>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</si>
  <si>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</si>
  <si>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</si>
  <si>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</si>
  <si>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</si>
  <si>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</si>
  <si>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</si>
  <si>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</si>
  <si>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</si>
  <si>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</si>
  <si>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</si>
  <si>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</si>
  <si>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</si>
  <si>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</si>
  <si>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</si>
  <si>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</si>
  <si>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</si>
  <si>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</si>
  <si>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</si>
  <si>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</si>
  <si>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</si>
  <si>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</si>
  <si>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</si>
  <si>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</si>
  <si>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</si>
  <si>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</si>
  <si>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</si>
  <si>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</si>
  <si>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</si>
  <si>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</si>
  <si>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</si>
  <si>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</si>
  <si>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</si>
  <si>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</si>
  <si>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</si>
  <si>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</si>
  <si>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</si>
  <si>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</si>
  <si>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</si>
  <si>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</si>
  <si>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</si>
  <si>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</si>
  <si>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</si>
  <si>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</si>
  <si>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</si>
  <si>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</si>
  <si>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</si>
  <si>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</si>
  <si>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</si>
  <si>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</si>
  <si>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</si>
  <si>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</si>
  <si>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</si>
  <si>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</si>
  <si>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</si>
  <si>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</si>
  <si>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</si>
  <si>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</si>
  <si>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</si>
  <si>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</si>
  <si>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</si>
  <si>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</si>
  <si>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</si>
  <si>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</si>
  <si>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</si>
  <si>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</si>
  <si>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</si>
  <si>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</si>
  <si>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</si>
  <si>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</si>
  <si>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</si>
  <si>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</si>
  <si>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</si>
  <si>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</si>
  <si>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</si>
  <si>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</si>
  <si>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</si>
  <si>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</si>
  <si>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</si>
  <si>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</si>
  <si>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</si>
  <si>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</si>
  <si>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</si>
  <si>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</si>
  <si>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</si>
  <si>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</si>
  <si>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</si>
  <si>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</si>
  <si>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</si>
  <si>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</si>
  <si>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</si>
  <si>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</si>
  <si>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</si>
  <si>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</si>
  <si>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</si>
  <si>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</si>
  <si>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</si>
  <si>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</si>
  <si>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</si>
  <si>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</si>
  <si>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</si>
  <si>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</si>
  <si>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</si>
  <si>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</si>
  <si>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</si>
  <si>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</si>
  <si>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</si>
  <si>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</si>
  <si>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</si>
  <si>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</si>
  <si>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</si>
  <si>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</si>
  <si>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</si>
  <si>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</si>
  <si>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</si>
  <si>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</si>
  <si>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</si>
  <si>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</si>
  <si>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</si>
  <si>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</si>
  <si>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</si>
  <si>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</si>
  <si>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</si>
  <si>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</si>
  <si>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</si>
  <si>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</si>
  <si>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</si>
  <si>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</si>
  <si>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</si>
  <si>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</si>
  <si>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</si>
  <si>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</si>
  <si>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</si>
  <si>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</si>
  <si>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</si>
  <si>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</si>
  <si>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</si>
  <si>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</si>
  <si>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</si>
  <si>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</si>
  <si>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</si>
  <si>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</si>
  <si>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</si>
  <si>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</si>
  <si>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</si>
  <si>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</si>
  <si>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</si>
  <si>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</si>
  <si>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</si>
  <si>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</si>
  <si>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</si>
  <si>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</si>
  <si>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</si>
  <si>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</si>
  <si>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</si>
  <si>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</si>
  <si>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</si>
  <si>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</si>
  <si>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</si>
  <si>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</si>
  <si>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</si>
  <si>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</si>
  <si>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</si>
  <si>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</si>
  <si>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</si>
  <si>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</si>
  <si>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</si>
  <si>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</si>
  <si>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</si>
  <si>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</si>
  <si>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</si>
  <si>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</si>
  <si>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</si>
  <si>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</si>
  <si>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</si>
  <si>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</si>
  <si>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</si>
  <si>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</si>
  <si>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</si>
  <si>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</si>
  <si>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</si>
  <si>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</si>
  <si>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</si>
  <si>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</si>
  <si>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</si>
  <si>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</si>
  <si>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</si>
  <si>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</si>
  <si>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</si>
  <si>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</si>
  <si>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</si>
  <si>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</si>
  <si>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</si>
  <si>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</si>
  <si>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</si>
  <si>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</si>
  <si>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</si>
  <si>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</si>
  <si>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</si>
  <si>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</si>
  <si>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</si>
  <si>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</si>
  <si>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</si>
  <si>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</si>
  <si>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</si>
  <si>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</si>
  <si>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</si>
  <si>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</si>
  <si>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</si>
  <si>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</si>
  <si>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</si>
  <si>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</si>
  <si>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</si>
  <si>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</si>
  <si>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</si>
  <si>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</si>
  <si>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</si>
  <si>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</si>
  <si>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</si>
  <si>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</si>
  <si>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</si>
  <si>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</si>
  <si>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</si>
  <si>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</si>
  <si>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</si>
  <si>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</si>
  <si>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</si>
  <si>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</si>
  <si>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</si>
  <si>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</si>
  <si>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</si>
  <si>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</si>
  <si>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</si>
  <si>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</si>
  <si>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</si>
  <si>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</si>
  <si>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</si>
  <si>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</si>
  <si>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</si>
  <si>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</si>
  <si>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</si>
  <si>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</si>
  <si>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</si>
  <si>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</si>
  <si>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</si>
  <si>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</si>
  <si>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</si>
  <si>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</si>
  <si>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</si>
  <si>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</si>
  <si>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</si>
  <si>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</si>
  <si>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</si>
  <si>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</si>
  <si>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</si>
  <si>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</si>
  <si>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</si>
  <si>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</si>
  <si>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</si>
  <si>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</si>
  <si>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</si>
  <si>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</si>
  <si>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</si>
  <si>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</si>
  <si>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</si>
  <si>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</si>
  <si>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</si>
  <si>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</si>
  <si>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</si>
  <si>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</si>
  <si>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</si>
  <si>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</si>
  <si>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</si>
  <si>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</si>
  <si>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</si>
  <si>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</si>
  <si>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</si>
  <si>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</si>
  <si>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</si>
  <si>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</si>
  <si>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</si>
  <si>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</si>
  <si>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</si>
  <si>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</si>
  <si>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</si>
  <si>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</si>
  <si>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</si>
  <si>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</si>
  <si>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</si>
  <si>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</si>
  <si>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</si>
  <si>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</si>
  <si>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</si>
  <si>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</si>
  <si>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</si>
  <si>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</si>
  <si>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</si>
  <si>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</si>
  <si>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</si>
  <si>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</si>
  <si>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</si>
  <si>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</si>
  <si>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</si>
  <si>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</si>
  <si>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</si>
  <si>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</si>
  <si>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</si>
  <si>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</si>
  <si>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</si>
  <si>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</si>
  <si>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</si>
  <si>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</si>
  <si>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</si>
  <si>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</si>
  <si>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</si>
  <si>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</si>
  <si>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</si>
  <si>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</si>
  <si>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</si>
  <si>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</si>
  <si>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</si>
  <si>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</si>
  <si>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</si>
  <si>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</si>
  <si>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</si>
  <si>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</si>
  <si>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</si>
  <si>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</si>
  <si>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</si>
  <si>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</si>
  <si>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</si>
  <si>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</si>
  <si>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</si>
  <si>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</si>
  <si>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</si>
  <si>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</si>
  <si>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</si>
  <si>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</si>
  <si>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</si>
  <si>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</si>
  <si>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</si>
  <si>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</si>
  <si>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</si>
  <si>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</si>
  <si>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</si>
  <si>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</si>
  <si>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</si>
  <si>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</si>
  <si>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</si>
  <si>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</si>
  <si>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</si>
  <si>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</si>
  <si>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</si>
  <si>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</si>
  <si>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</si>
  <si>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</si>
  <si>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</si>
  <si>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</si>
  <si>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</si>
  <si>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</si>
  <si>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</si>
  <si>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</si>
  <si>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</si>
  <si>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</si>
  <si>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</si>
  <si>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</si>
  <si>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</si>
  <si>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</si>
  <si>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</si>
  <si>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</si>
  <si>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</si>
  <si>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</si>
  <si>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</si>
  <si>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</si>
  <si>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</si>
  <si>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</si>
  <si>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</si>
  <si>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</si>
  <si>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</si>
  <si>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</si>
  <si>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</si>
  <si>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</si>
  <si>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</si>
  <si>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</si>
  <si>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</si>
  <si>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</si>
  <si>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</si>
  <si>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</si>
  <si>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</si>
  <si>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</si>
  <si>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</si>
  <si>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</si>
  <si>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</si>
  <si>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</si>
  <si>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</si>
  <si>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</si>
  <si>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</si>
  <si>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</si>
  <si>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</si>
  <si>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</si>
  <si>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</si>
  <si>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</si>
  <si>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</si>
  <si>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</si>
  <si>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</si>
  <si>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</si>
  <si>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</si>
  <si>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</si>
  <si>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</si>
  <si>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</si>
  <si>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</si>
  <si>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</si>
  <si>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</si>
  <si>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</si>
  <si>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</si>
  <si>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</si>
  <si>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</si>
  <si>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</si>
  <si>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</si>
  <si>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</si>
  <si>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</si>
  <si>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</si>
  <si>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</si>
  <si>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</si>
  <si>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</si>
  <si>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</si>
  <si>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</si>
  <si>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</si>
  <si>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</si>
  <si>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</si>
  <si>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</si>
  <si>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</si>
  <si>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</si>
  <si>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</si>
  <si>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</si>
  <si>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</si>
  <si>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</si>
  <si>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</si>
  <si>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</si>
  <si>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</si>
  <si>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</si>
  <si>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</si>
  <si>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</si>
  <si>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</si>
  <si>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</si>
  <si>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</si>
  <si>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</si>
  <si>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</si>
  <si>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</si>
  <si>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</si>
  <si>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</si>
  <si>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</si>
  <si>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</si>
  <si>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</si>
  <si>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</si>
  <si>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</si>
  <si>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</si>
  <si>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</si>
  <si>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</si>
  <si>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</si>
  <si>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</si>
  <si>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</si>
  <si>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</si>
  <si>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</si>
  <si>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</si>
  <si>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</si>
  <si>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</si>
  <si>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</si>
  <si>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</si>
  <si>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</si>
  <si>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</si>
  <si>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</si>
  <si>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</si>
  <si>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</si>
  <si>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</si>
  <si>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</si>
  <si>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</si>
  <si>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</si>
  <si>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</si>
  <si>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</si>
  <si>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</si>
  <si>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</si>
  <si>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</si>
  <si>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</si>
  <si>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</si>
  <si>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</si>
  <si>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</si>
  <si>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</si>
  <si>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</si>
  <si>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</si>
  <si>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</si>
  <si>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</si>
  <si>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</si>
  <si>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</si>
  <si>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</si>
  <si>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</si>
  <si>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</si>
  <si>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</si>
  <si>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</si>
  <si>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</si>
  <si>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</si>
  <si>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</si>
  <si>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</si>
  <si>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</si>
  <si>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</si>
  <si>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</si>
  <si>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</si>
  <si>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</si>
  <si>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</si>
  <si>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</si>
  <si>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</si>
  <si>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</si>
  <si>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</si>
  <si>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</si>
  <si>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</si>
  <si>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</si>
  <si>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</si>
  <si>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</si>
  <si>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</si>
  <si>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</si>
  <si>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</si>
  <si>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</si>
  <si>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</si>
  <si>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</si>
  <si>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</si>
  <si>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</si>
  <si>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</si>
  <si>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</si>
  <si>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</si>
  <si>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</si>
  <si>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</si>
  <si>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</si>
  <si>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</si>
  <si>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</si>
  <si>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</si>
  <si>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</si>
  <si>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</si>
  <si>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</si>
  <si>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</si>
  <si>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</si>
  <si>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</si>
  <si>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</si>
  <si>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</si>
  <si>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</si>
  <si>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</si>
  <si>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</si>
  <si>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</si>
  <si>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</si>
  <si>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</si>
  <si>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</si>
  <si>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</si>
  <si>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</si>
  <si>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</si>
  <si>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</si>
  <si>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</si>
  <si>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</si>
  <si>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</si>
  <si>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</si>
  <si>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</si>
  <si>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</si>
  <si>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</si>
  <si>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</si>
  <si>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</si>
  <si>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</si>
  <si>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</si>
  <si>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</si>
  <si>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</si>
  <si>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</si>
  <si>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</si>
  <si>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</si>
  <si>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</si>
  <si>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</si>
  <si>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</si>
  <si>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</si>
  <si>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</si>
  <si>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</si>
  <si>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</si>
  <si>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</si>
  <si>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</si>
  <si>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</si>
  <si>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</si>
  <si>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</si>
  <si>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</si>
  <si>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</si>
  <si>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</si>
  <si>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</si>
  <si>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</si>
  <si>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</si>
  <si>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</si>
  <si>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</si>
  <si>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</si>
  <si>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</si>
  <si>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</si>
  <si>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</si>
  <si>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</si>
  <si>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</si>
  <si>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</si>
  <si>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</si>
  <si>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</si>
  <si>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</si>
  <si>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</si>
  <si>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</si>
  <si>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</si>
  <si>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</si>
  <si>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</si>
  <si>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</si>
  <si>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</si>
  <si>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</si>
  <si>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</si>
  <si>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</si>
  <si>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</si>
  <si>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</si>
  <si>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</si>
  <si>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</si>
  <si>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</si>
  <si>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</si>
  <si>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</si>
  <si>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</si>
  <si>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</si>
  <si>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</si>
  <si>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</si>
  <si>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</si>
  <si>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</si>
  <si>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</si>
  <si>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</si>
  <si>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</si>
  <si>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</si>
  <si>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</si>
  <si>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</si>
  <si>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</si>
  <si>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</si>
  <si>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</si>
  <si>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</si>
  <si>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</si>
  <si>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</si>
  <si>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</si>
  <si>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</si>
  <si>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</si>
  <si>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</si>
  <si>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</si>
  <si>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</si>
  <si>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</si>
  <si>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</si>
  <si>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</si>
  <si>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</si>
  <si>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</si>
  <si>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</si>
  <si>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</si>
  <si>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</si>
  <si>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</si>
  <si>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</si>
  <si>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</si>
  <si>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</si>
  <si>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</si>
  <si>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</si>
  <si>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</si>
  <si>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</si>
  <si>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</si>
  <si>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</si>
  <si>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</si>
  <si>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</si>
  <si>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</si>
  <si>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</si>
  <si>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</si>
  <si>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</si>
  <si>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</si>
  <si>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</si>
  <si>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</si>
  <si>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</si>
  <si>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</si>
  <si>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</si>
  <si>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</si>
  <si>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</si>
  <si>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</si>
  <si>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</si>
  <si>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</si>
  <si>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</si>
  <si>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</si>
  <si>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</si>
  <si>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</si>
  <si>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</si>
  <si>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</si>
  <si>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</si>
  <si>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</si>
  <si>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</si>
  <si>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</si>
  <si>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</si>
  <si>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</si>
  <si>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</si>
  <si>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</si>
  <si>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</si>
  <si>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</si>
  <si>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</si>
  <si>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</si>
  <si>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</si>
  <si>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</si>
  <si>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</si>
  <si>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</si>
  <si>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</si>
  <si>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</si>
  <si>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</si>
  <si>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</si>
  <si>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</si>
  <si>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</si>
  <si>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</si>
  <si>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</si>
  <si>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</si>
  <si>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</si>
  <si>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</si>
  <si>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</si>
  <si>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</si>
  <si>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</si>
  <si>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</si>
  <si>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</si>
  <si>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</si>
  <si>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</si>
  <si>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</si>
  <si>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</si>
  <si>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</si>
  <si>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</si>
  <si>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</si>
  <si>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</si>
  <si>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</si>
  <si>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</si>
  <si>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</si>
  <si>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</si>
  <si>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</si>
  <si>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</si>
  <si>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</si>
  <si>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</si>
  <si>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</si>
  <si>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</si>
  <si>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</si>
  <si>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</si>
  <si>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</si>
  <si>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</si>
  <si>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</si>
  <si>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</si>
  <si>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</si>
  <si>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</si>
  <si>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</si>
  <si>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</si>
  <si>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</si>
  <si>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</si>
  <si>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</si>
  <si>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</si>
  <si>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</si>
  <si>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</si>
  <si>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</si>
  <si>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</si>
  <si>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</si>
  <si>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</si>
  <si>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</si>
  <si>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</si>
  <si>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</si>
  <si>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</si>
  <si>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</si>
  <si>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</si>
  <si>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</si>
  <si>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</si>
  <si>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</si>
  <si>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</si>
  <si>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</si>
  <si>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</si>
  <si>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</si>
  <si>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</si>
  <si>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</si>
  <si>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</si>
  <si>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</si>
  <si>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</si>
  <si>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</si>
  <si>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</si>
  <si>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</si>
  <si>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</si>
  <si>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</si>
  <si>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</si>
  <si>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</si>
  <si>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</si>
  <si>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</si>
  <si>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</si>
  <si>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</si>
  <si>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</si>
  <si>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</si>
  <si>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</si>
  <si>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</si>
  <si>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</si>
  <si>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</si>
  <si>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</si>
  <si>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</si>
  <si>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</si>
  <si>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</si>
  <si>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</si>
  <si>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</si>
  <si>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</si>
  <si>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</si>
  <si>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</si>
  <si>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</si>
  <si>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</si>
  <si>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</si>
  <si>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</si>
  <si>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</si>
  <si>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</si>
  <si>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</si>
  <si>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</si>
  <si>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</si>
  <si>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</si>
  <si>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</si>
  <si>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</si>
  <si>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</si>
  <si>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</si>
  <si>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</si>
  <si>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</si>
  <si>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</si>
  <si>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</si>
  <si>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</si>
  <si>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</si>
  <si>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</si>
  <si>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Row Labels</t>
  </si>
  <si>
    <t>Grand Total</t>
  </si>
  <si>
    <t>Srno.</t>
  </si>
  <si>
    <t>Average of GPA</t>
  </si>
  <si>
    <t>Average of avg_session_duration_minutes</t>
  </si>
  <si>
    <t>Max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</si>
</sst>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left" indent="1"/>
    </xf>
    <xf numFmtId="2" fontId="0" fillId="0" borderId="11" xfId="0" applyNumberFormat="1" applyBorder="1"/>
    <xf numFmtId="2" fontId="0" fillId="0" borderId="12" xfId="0" applyNumberFormat="1" applyBorder="1"/>
    <xf numFmtId="2" fontId="0" fillId="0" borderId="13" xfId="0" applyNumberFormat="1" applyBorder="1"/>
    <xf numFmtId="0" fontId="0" fillId="0" borderId="10" xfId="0" pivotButton="1" applyBorder="1"/>
    <xf numFmtId="0" fontId="0" fillId="0" borderId="10" xfId="0" applyBorder="1" applyAlignment="1">
      <alignment horizontal="left"/>
    </xf>
    <xf numFmtId="0" fontId="0" fillId="0" borderId="11" xfId="0" applyBorder="1" applyAlignment="1">
      <alignment horizontal="left" indent="1"/>
    </xf>
    <xf numFmtId="0" fontId="0" fillId="0" borderId="12" xfId="0" applyBorder="1" applyAlignment="1">
      <alignment horizontal="left" indent="1"/>
    </xf>
    <xf numFmtId="0" fontId="0" fillId="0" borderId="13" xfId="0" applyBorder="1" applyAlignment="1">
      <alignment horizontal="left" indent="1"/>
    </xf>
    <xf numFmtId="0" fontId="0" fillId="0" borderId="1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1">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[college_student_management_data.csv.xlsx]Sheet1!PivotTable8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Sheet1!$C$3</c:f>
              <c:strCache>
                <c:ptCount val="1"/>
                <c:pt idx="0">
                  <c:v>Total</c:v>
                </c:pt>
              </c:strCache>
            </c:strRef>
          </c:tx>
          <c:spPr>
            <a:solidFill>
              <a:schemeClr val="accent1"/>
            </a:solidFill>
            <a:ln>
              <a:noFill/>
            </a:ln>
            <a:effectLst/>
          </c:spPr>
          <c:invertIfNegative val="0"/>
          <c:cat>
            <c:multiLvlStrRef>
              <c:f>Sheet1!$B$4:$B$20</c:f>
              <c:multiLvlStrCache>
                <c:ptCount val="12"/>
                <c:lvl>
                  <c:pt idx="0">
                    <c:v>Female</c:v>
                  </c:pt>
                  <c:pt idx="1">
                    <c:v>Male</c:v>
                  </c:pt>
                  <c:pt idx="2">
                    <c:v>Other</c:v>
                  </c:pt>
                  <c:pt idx="3">
                    <c:v>Female</c:v>
                  </c:pt>
                  <c:pt idx="4">
                    <c:v>Male</c:v>
                  </c:pt>
                  <c:pt idx="5">
                    <c:v>Other</c:v>
                  </c:pt>
                  <c:pt idx="6">
                    <c:v>Female</c:v>
                  </c:pt>
                  <c:pt idx="7">
                    <c:v>Male</c:v>
                  </c:pt>
                  <c:pt idx="8">
                    <c:v>Other</c:v>
                  </c:pt>
                  <c:pt idx="9">
                    <c:v>Female</c:v>
                  </c:pt>
                  <c:pt idx="10">
                    <c:v>Male</c:v>
                  </c:pt>
                  <c:pt idx="11">
                    <c:v>Other</c:v>
                  </c:pt>
                </c:lvl>
                <c:lvl>
                  <c:pt idx="0">
                    <c:v>Arts</c:v>
                  </c:pt>
                  <c:pt idx="3">
                    <c:v>Business</c:v>
                  </c:pt>
                  <c:pt idx="6">
                    <c:v>Computer Science</c:v>
                  </c:pt>
                  <c:pt idx="9">
                    <c:v>Engineering</c:v>
                  </c:pt>
                </c:lvl>
              </c:multiLvlStrCache>
            </c:multiLvlStrRef>
          </c:cat>
          <c:val>
            <c:numRef>
              <c:f>Sheet1!$C$4:$C$20</c:f>
              <c:numCache>
                <c:formatCode>0.00</c:formatCode>
                <c:ptCount val="12"/>
                <c:pt idx="0">
                  <c:v>2.976</c:v>
                </c:pt>
                <c:pt idx="1">
                  <c:v>2.7966666666666669</c:v>
                </c:pt>
                <c:pt idx="2">
                  <c:v>2.859285714285714</c:v>
                </c:pt>
                <c:pt idx="3">
                  <c:v>2.8762499999999998</c:v>
                </c:pt>
                <c:pt idx="4">
                  <c:v>3.0700000000000003</c:v>
                </c:pt>
                <c:pt idx="5">
                  <c:v>2.8131249999999999</c:v>
                </c:pt>
                <c:pt idx="6">
                  <c:v>3.0306249999999997</c:v>
                </c:pt>
                <c:pt idx="7">
                  <c:v>2.9033333333333338</c:v>
                </c:pt>
                <c:pt idx="8">
                  <c:v>3.0038461538461543</c:v>
                </c:pt>
                <c:pt idx="9">
                  <c:v>3.1741666666666664</c:v>
                </c:pt>
                <c:pt idx="10">
                  <c:v>2.9725000000000001</c:v>
                </c:pt>
                <c:pt idx="11">
                  <c:v>3.1114285714285721</c:v>
                </c:pt>
              </c:numCache>
            </c:numRef>
          </c:val>
          <c:extLst>
            <c:ext xmlns:c16="http://schemas.microsoft.com/office/drawing/2014/chart" uri="{C3380CC4-5D6E-409C-BE32-E72D297353CC}">
              <c16:uniqueId val="{00000000-5F79-452C-B380-58EBC3D465AC}"/>
            </c:ext>
          </c:extLst>
        </c:ser>
        <c:dLbls>
          <c:showLegendKey val="0"/>
          <c:showVal val="0"/>
          <c:showCatName val="0"/>
          <c:showSerName val="0"/>
          <c:showPercent val="0"/>
          <c:showBubbleSize val="0"/>
        </c:dLbls>
        <c:gapWidth val="219"/>
        <c:overlap val="-27"/>
        <c:axId val="1684380191"/>
        <c:axId val="1684390751"/>
      </c:barChart>
      <c:catAx>
        <c:axId val="1684380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390751"/>
        <c:crosses val="autoZero"/>
        <c:auto val="1"/>
        <c:lblAlgn val="ctr"/>
        <c:lblOffset val="100"/>
        <c:noMultiLvlLbl val="0"/>
      </c:catAx>
      <c:valAx>
        <c:axId val="16843907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380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536221</xdr:colOff>
      <xdr:row>4</xdr:row>
      <xdr:rowOff>78317</xdr:rowOff>
    </xdr:from>
    <xdr:to>
      <xdr:col>14</xdr:col>
      <xdr:colOff>395110</xdr:colOff>
      <xdr:row>19</xdr:row>
      <xdr:rowOff>20461</xdr:rowOff>
    </xdr:to>
    <xdr:graphicFrame macro="">
      <xdr:nvGraphicFramePr>
        <xdr:cNvPr id="9" name="Chart 8">
          <a:extLst>
            <a:ext uri="{FF2B5EF4-FFF2-40B4-BE49-F238E27FC236}">
              <a16:creationId xmlns:a16="http://schemas.microsoft.com/office/drawing/2014/main" id="{6AA3266B-6FA3-9E91-A8DA-BB47FACD7A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109361</xdr:colOff>
      <xdr:row>5</xdr:row>
      <xdr:rowOff>46567</xdr:rowOff>
    </xdr:from>
    <xdr:to>
      <xdr:col>18</xdr:col>
      <xdr:colOff>117827</xdr:colOff>
      <xdr:row>18</xdr:row>
      <xdr:rowOff>143581</xdr:rowOff>
    </xdr:to>
    <mc:AlternateContent xmlns:mc="http://schemas.openxmlformats.org/markup-compatibility/2006" xmlns:a14="http://schemas.microsoft.com/office/drawing/2010/main">
      <mc:Choice Requires="a14">
        <xdr:graphicFrame macro="">
          <xdr:nvGraphicFramePr>
            <xdr:cNvPr id="10" name="age">
              <a:extLst>
                <a:ext uri="{FF2B5EF4-FFF2-40B4-BE49-F238E27FC236}">
                  <a16:creationId xmlns:a16="http://schemas.microsoft.com/office/drawing/2014/main" id="{14EE9AD7-941E-7160-AF59-28F2DB57BEE6}"/>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0706805" y="984956"/>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55.874239236109" createdVersion="8" refreshedVersion="8" minRefreshableVersion="3" recordCount="1545" xr:uid="{BA70E5D4-6530-4E42-9F84-9A597C93C6CE}">
  <cacheSource type="worksheet">
    <worksheetSource name="Table1"/>
  </cacheSource>
  <cacheFields count="16">
    <cacheField name="student_id" numFmtId="0">
      <sharedItems/>
    </cacheField>
    <cacheField name="Srno." numFmtId="0">
      <sharedItems containsSemiMixedTypes="0" containsString="0" containsNumber="1" containsInteger="1" minValue="1" maxValue="1545"/>
    </cacheField>
    <cacheField name="age" numFmtId="0">
      <sharedItems containsSemiMixedTypes="0" containsString="0" containsNumber="1" containsInteger="1" minValue="18" maxValue="25" count="8">
        <n v="24"/>
        <n v="21"/>
        <n v="22"/>
        <n v="20"/>
        <n v="25"/>
        <n v="19"/>
        <n v="23"/>
        <n v="18"/>
      </sharedItems>
    </cacheField>
    <cacheField name="gender" numFmtId="0">
      <sharedItems count="3">
        <s v="Other"/>
        <s v="Male"/>
        <s v="Female"/>
      </sharedItems>
    </cacheField>
    <cacheField name="major" numFmtId="0">
      <sharedItems count="4">
        <s v="Computer Science"/>
        <s v="Arts"/>
        <s v="Engineering"/>
        <s v="Business"/>
      </sharedItems>
    </cacheField>
    <cacheField name="GPA" numFmtId="0">
      <sharedItems containsSemiMixedTypes="0" containsString="0" containsNumber="1" minValue="2" maxValue="4"/>
    </cacheField>
    <cacheField name="course_load" numFmtId="0">
      <sharedItems containsSemiMixedTypes="0" containsString="0" containsNumber="1" containsInteger="1" minValue="3" maxValue="6" count="4">
        <n v="5"/>
        <n v="6"/>
        <n v="3"/>
        <n v="4"/>
      </sharedItems>
    </cacheField>
    <cacheField name="avg_course_grade" numFmtId="0">
      <sharedItems containsSemiMixedTypes="0" containsString="0" containsNumber="1" minValue="60" maxValue="100"/>
    </cacheField>
    <cacheField name="attendance_rate" numFmtId="0">
      <sharedItems containsSemiMixedTypes="0" containsString="0" containsNumber="1" minValue="0.6" maxValue="1"/>
    </cacheField>
    <cacheField name="enrollment_status" numFmtId="0">
      <sharedItems count="3">
        <s v="Graduated"/>
        <s v="Leave"/>
        <s v="Active"/>
      </sharedItems>
    </cacheField>
    <cacheField name="lms_logins_past_month" numFmtId="0">
      <sharedItems containsSemiMixedTypes="0" containsString="0" containsNumber="1" containsInteger="1" minValue="0" maxValue="39"/>
    </cacheField>
    <cacheField name="avg_session_duration_minutes" numFmtId="0">
      <sharedItems containsSemiMixedTypes="0" containsString="0" containsNumber="1" containsInteger="1" minValue="10" maxValue="89"/>
    </cacheField>
    <cacheField name="assignment_submission_rate" numFmtId="0">
      <sharedItems containsSemiMixedTypes="0" containsString="0" containsNumber="1" minValue="0.5" maxValue="1"/>
    </cacheField>
    <cacheField name="forum_participation_count" numFmtId="0">
      <sharedItems containsSemiMixedTypes="0" containsString="0" containsNumber="1" containsInteger="1" minValue="0" maxValue="19"/>
    </cacheField>
    <cacheField name="video_completion_rate" numFmtId="0">
      <sharedItems containsSemiMixedTypes="0" containsString="0" containsNumber="1" minValue="0.5" maxValue="1"/>
    </cacheField>
    <cacheField name="risk_level" numFmtId="0">
      <sharedItems count="3">
        <s v="High"/>
        <s v="Medium"/>
        <s v="Low"/>
      </sharedItems>
    </cacheField>
  </cacheFields>
  <extLst>
    <ext xmlns:x14="http://schemas.microsoft.com/office/spreadsheetml/2009/9/main" uri="{725AE2AE-9491-48be-B2B4-4EB974FC3084}">
      <x14:pivotCacheDefinition pivotCacheId="11614776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45">
  <r>
    <s v="S001"/>
    <n v="1"/>
    <x v="0"/>
    <x v="0"/>
    <x v="0"/>
    <n v="2.42"/>
    <x v="0"/>
    <n v="67.2"/>
    <n v="0.71"/>
    <x v="0"/>
    <n v="32"/>
    <n v="33"/>
    <n v="0.7"/>
    <n v="8"/>
    <n v="0.74"/>
    <x v="0"/>
  </r>
  <r>
    <s v="S002"/>
    <n v="2"/>
    <x v="1"/>
    <x v="1"/>
    <x v="1"/>
    <n v="3.73"/>
    <x v="1"/>
    <n v="64.400000000000006"/>
    <n v="0.84"/>
    <x v="1"/>
    <n v="29"/>
    <n v="53"/>
    <n v="0.91"/>
    <n v="13"/>
    <n v="0.85"/>
    <x v="1"/>
  </r>
  <r>
    <s v="S003"/>
    <n v="3"/>
    <x v="2"/>
    <x v="1"/>
    <x v="0"/>
    <n v="2.8"/>
    <x v="2"/>
    <n v="95.3"/>
    <n v="0.89"/>
    <x v="0"/>
    <n v="34"/>
    <n v="69"/>
    <n v="0.57999999999999996"/>
    <n v="18"/>
    <n v="0.99"/>
    <x v="1"/>
  </r>
  <r>
    <s v="S004"/>
    <n v="4"/>
    <x v="0"/>
    <x v="1"/>
    <x v="1"/>
    <n v="2.59"/>
    <x v="3"/>
    <n v="73.7"/>
    <n v="0.98"/>
    <x v="0"/>
    <n v="22"/>
    <n v="18"/>
    <n v="0.91"/>
    <n v="6"/>
    <n v="0.72"/>
    <x v="1"/>
  </r>
  <r>
    <s v="S005"/>
    <n v="5"/>
    <x v="3"/>
    <x v="0"/>
    <x v="0"/>
    <n v="2.2999999999999998"/>
    <x v="3"/>
    <n v="87.4"/>
    <n v="0.95"/>
    <x v="2"/>
    <n v="9"/>
    <n v="11"/>
    <n v="0.77"/>
    <n v="15"/>
    <n v="0.76"/>
    <x v="0"/>
  </r>
  <r>
    <s v="S006"/>
    <n v="6"/>
    <x v="4"/>
    <x v="1"/>
    <x v="2"/>
    <n v="2.5299999999999998"/>
    <x v="3"/>
    <n v="61"/>
    <n v="0.81"/>
    <x v="2"/>
    <n v="18"/>
    <n v="65"/>
    <n v="0.61"/>
    <n v="19"/>
    <n v="0.76"/>
    <x v="1"/>
  </r>
  <r>
    <s v="S007"/>
    <n v="7"/>
    <x v="2"/>
    <x v="2"/>
    <x v="2"/>
    <n v="2.04"/>
    <x v="2"/>
    <n v="87.6"/>
    <n v="0.91"/>
    <x v="2"/>
    <n v="27"/>
    <n v="39"/>
    <n v="0.7"/>
    <n v="4"/>
    <n v="0.77"/>
    <x v="0"/>
  </r>
  <r>
    <s v="S008"/>
    <n v="8"/>
    <x v="2"/>
    <x v="0"/>
    <x v="0"/>
    <n v="3.17"/>
    <x v="3"/>
    <n v="72.599999999999994"/>
    <n v="0.82"/>
    <x v="2"/>
    <n v="22"/>
    <n v="31"/>
    <n v="0.99"/>
    <n v="9"/>
    <n v="0.76"/>
    <x v="1"/>
  </r>
  <r>
    <s v="S009"/>
    <n v="9"/>
    <x v="0"/>
    <x v="0"/>
    <x v="0"/>
    <n v="3.68"/>
    <x v="1"/>
    <n v="62.2"/>
    <n v="0.82"/>
    <x v="2"/>
    <n v="3"/>
    <n v="84"/>
    <n v="0.89"/>
    <n v="17"/>
    <n v="0.5"/>
    <x v="1"/>
  </r>
  <r>
    <s v="S010"/>
    <n v="10"/>
    <x v="5"/>
    <x v="0"/>
    <x v="2"/>
    <n v="3.1"/>
    <x v="3"/>
    <n v="84.4"/>
    <n v="0.65"/>
    <x v="2"/>
    <n v="19"/>
    <n v="22"/>
    <n v="0.79"/>
    <n v="10"/>
    <n v="0.5"/>
    <x v="0"/>
  </r>
  <r>
    <s v="S011"/>
    <n v="11"/>
    <x v="3"/>
    <x v="0"/>
    <x v="1"/>
    <n v="2.44"/>
    <x v="3"/>
    <n v="69.599999999999994"/>
    <n v="0.65"/>
    <x v="1"/>
    <n v="18"/>
    <n v="80"/>
    <n v="0.56000000000000005"/>
    <n v="6"/>
    <n v="0.55000000000000004"/>
    <x v="0"/>
  </r>
  <r>
    <s v="S012"/>
    <n v="12"/>
    <x v="0"/>
    <x v="2"/>
    <x v="2"/>
    <n v="2.0699999999999998"/>
    <x v="1"/>
    <n v="75.5"/>
    <n v="0.81"/>
    <x v="2"/>
    <n v="26"/>
    <n v="25"/>
    <n v="0.71"/>
    <n v="13"/>
    <n v="0.55000000000000004"/>
    <x v="0"/>
  </r>
  <r>
    <s v="S013"/>
    <n v="13"/>
    <x v="3"/>
    <x v="0"/>
    <x v="1"/>
    <n v="2.4300000000000002"/>
    <x v="3"/>
    <n v="63.2"/>
    <n v="0.71"/>
    <x v="0"/>
    <n v="33"/>
    <n v="54"/>
    <n v="0.63"/>
    <n v="19"/>
    <n v="0.85"/>
    <x v="0"/>
  </r>
  <r>
    <s v="S014"/>
    <n v="14"/>
    <x v="3"/>
    <x v="0"/>
    <x v="0"/>
    <n v="2.83"/>
    <x v="1"/>
    <n v="65.900000000000006"/>
    <n v="0.61"/>
    <x v="1"/>
    <n v="3"/>
    <n v="74"/>
    <n v="0.54"/>
    <n v="17"/>
    <n v="0.6"/>
    <x v="0"/>
  </r>
  <r>
    <s v="S015"/>
    <n v="15"/>
    <x v="4"/>
    <x v="1"/>
    <x v="0"/>
    <n v="3.52"/>
    <x v="3"/>
    <n v="71.900000000000006"/>
    <n v="0.89"/>
    <x v="0"/>
    <n v="37"/>
    <n v="20"/>
    <n v="0.77"/>
    <n v="10"/>
    <n v="0.95"/>
    <x v="2"/>
  </r>
  <r>
    <s v="S016"/>
    <n v="16"/>
    <x v="2"/>
    <x v="0"/>
    <x v="1"/>
    <n v="2.38"/>
    <x v="1"/>
    <n v="63.6"/>
    <n v="0.61"/>
    <x v="2"/>
    <n v="6"/>
    <n v="79"/>
    <n v="0.94"/>
    <n v="11"/>
    <n v="0.96"/>
    <x v="0"/>
  </r>
  <r>
    <s v="S017"/>
    <n v="17"/>
    <x v="1"/>
    <x v="2"/>
    <x v="0"/>
    <n v="3.44"/>
    <x v="3"/>
    <n v="96.4"/>
    <n v="0.84"/>
    <x v="2"/>
    <n v="6"/>
    <n v="29"/>
    <n v="0.84"/>
    <n v="17"/>
    <n v="0.99"/>
    <x v="1"/>
  </r>
  <r>
    <s v="S018"/>
    <n v="18"/>
    <x v="4"/>
    <x v="2"/>
    <x v="1"/>
    <n v="3.73"/>
    <x v="1"/>
    <n v="60.2"/>
    <n v="0.82"/>
    <x v="0"/>
    <n v="25"/>
    <n v="72"/>
    <n v="0.62"/>
    <n v="1"/>
    <n v="0.97"/>
    <x v="1"/>
  </r>
  <r>
    <s v="S019"/>
    <n v="19"/>
    <x v="4"/>
    <x v="2"/>
    <x v="3"/>
    <n v="2.91"/>
    <x v="2"/>
    <n v="79.400000000000006"/>
    <n v="0.99"/>
    <x v="0"/>
    <n v="25"/>
    <n v="21"/>
    <n v="0.79"/>
    <n v="0"/>
    <n v="0.64"/>
    <x v="1"/>
  </r>
  <r>
    <s v="S020"/>
    <n v="20"/>
    <x v="3"/>
    <x v="2"/>
    <x v="2"/>
    <n v="3.64"/>
    <x v="1"/>
    <n v="64.900000000000006"/>
    <n v="0.79"/>
    <x v="0"/>
    <n v="18"/>
    <n v="71"/>
    <n v="0.97"/>
    <n v="9"/>
    <n v="0.75"/>
    <x v="1"/>
  </r>
  <r>
    <s v="S021"/>
    <n v="21"/>
    <x v="6"/>
    <x v="0"/>
    <x v="3"/>
    <n v="3.11"/>
    <x v="3"/>
    <n v="72.3"/>
    <n v="0.63"/>
    <x v="1"/>
    <n v="8"/>
    <n v="51"/>
    <n v="0.86"/>
    <n v="0"/>
    <n v="0.59"/>
    <x v="0"/>
  </r>
  <r>
    <s v="S022"/>
    <n v="22"/>
    <x v="2"/>
    <x v="0"/>
    <x v="1"/>
    <n v="3.27"/>
    <x v="3"/>
    <n v="97"/>
    <n v="0.82"/>
    <x v="2"/>
    <n v="19"/>
    <n v="78"/>
    <n v="0.84"/>
    <n v="5"/>
    <n v="0.9"/>
    <x v="1"/>
  </r>
  <r>
    <s v="S023"/>
    <n v="23"/>
    <x v="5"/>
    <x v="2"/>
    <x v="2"/>
    <n v="3.05"/>
    <x v="0"/>
    <n v="66.5"/>
    <n v="0.94"/>
    <x v="0"/>
    <n v="15"/>
    <n v="67"/>
    <n v="0.98"/>
    <n v="6"/>
    <n v="0.94"/>
    <x v="2"/>
  </r>
  <r>
    <s v="S024"/>
    <n v="24"/>
    <x v="4"/>
    <x v="2"/>
    <x v="1"/>
    <n v="2.93"/>
    <x v="1"/>
    <n v="98.6"/>
    <n v="1"/>
    <x v="2"/>
    <n v="16"/>
    <n v="14"/>
    <n v="0.9"/>
    <n v="16"/>
    <n v="0.93"/>
    <x v="1"/>
  </r>
  <r>
    <s v="S025"/>
    <n v="25"/>
    <x v="1"/>
    <x v="0"/>
    <x v="2"/>
    <n v="2.4700000000000002"/>
    <x v="2"/>
    <n v="68.2"/>
    <n v="0.77"/>
    <x v="0"/>
    <n v="21"/>
    <n v="36"/>
    <n v="0.56999999999999995"/>
    <n v="8"/>
    <n v="0.72"/>
    <x v="0"/>
  </r>
  <r>
    <s v="S026"/>
    <n v="26"/>
    <x v="6"/>
    <x v="2"/>
    <x v="2"/>
    <n v="2.61"/>
    <x v="1"/>
    <n v="89.7"/>
    <n v="0.73"/>
    <x v="2"/>
    <n v="12"/>
    <n v="37"/>
    <n v="0.67"/>
    <n v="6"/>
    <n v="0.88"/>
    <x v="0"/>
  </r>
  <r>
    <s v="S027"/>
    <n v="27"/>
    <x v="6"/>
    <x v="1"/>
    <x v="2"/>
    <n v="2.58"/>
    <x v="1"/>
    <n v="81.900000000000006"/>
    <n v="0.96"/>
    <x v="1"/>
    <n v="11"/>
    <n v="35"/>
    <n v="0.98"/>
    <n v="16"/>
    <n v="0.55000000000000004"/>
    <x v="1"/>
  </r>
  <r>
    <s v="S028"/>
    <n v="28"/>
    <x v="5"/>
    <x v="2"/>
    <x v="2"/>
    <n v="3.13"/>
    <x v="2"/>
    <n v="95.4"/>
    <n v="0.68"/>
    <x v="2"/>
    <n v="9"/>
    <n v="58"/>
    <n v="0.74"/>
    <n v="2"/>
    <n v="0.52"/>
    <x v="0"/>
  </r>
  <r>
    <s v="S029"/>
    <n v="29"/>
    <x v="4"/>
    <x v="2"/>
    <x v="1"/>
    <n v="2.2400000000000002"/>
    <x v="1"/>
    <n v="82.2"/>
    <n v="0.85"/>
    <x v="0"/>
    <n v="0"/>
    <n v="30"/>
    <n v="0.56000000000000005"/>
    <n v="15"/>
    <n v="0.88"/>
    <x v="0"/>
  </r>
  <r>
    <s v="S030"/>
    <n v="30"/>
    <x v="1"/>
    <x v="1"/>
    <x v="2"/>
    <n v="3.83"/>
    <x v="2"/>
    <n v="81.400000000000006"/>
    <n v="0.76"/>
    <x v="2"/>
    <n v="31"/>
    <n v="10"/>
    <n v="0.73"/>
    <n v="4"/>
    <n v="0.71"/>
    <x v="1"/>
  </r>
  <r>
    <s v="S031"/>
    <n v="31"/>
    <x v="2"/>
    <x v="1"/>
    <x v="2"/>
    <n v="3.44"/>
    <x v="2"/>
    <n v="67.8"/>
    <n v="0.62"/>
    <x v="1"/>
    <n v="29"/>
    <n v="67"/>
    <n v="0.85"/>
    <n v="19"/>
    <n v="1"/>
    <x v="0"/>
  </r>
  <r>
    <s v="S032"/>
    <n v="32"/>
    <x v="7"/>
    <x v="0"/>
    <x v="3"/>
    <n v="2.8"/>
    <x v="1"/>
    <n v="66.599999999999994"/>
    <n v="0.74"/>
    <x v="1"/>
    <n v="7"/>
    <n v="88"/>
    <n v="1"/>
    <n v="17"/>
    <n v="0.55000000000000004"/>
    <x v="0"/>
  </r>
  <r>
    <s v="S033"/>
    <n v="33"/>
    <x v="1"/>
    <x v="0"/>
    <x v="0"/>
    <n v="2.3199999999999998"/>
    <x v="1"/>
    <n v="96.7"/>
    <n v="0.71"/>
    <x v="2"/>
    <n v="20"/>
    <n v="64"/>
    <n v="0.66"/>
    <n v="0"/>
    <n v="0.93"/>
    <x v="0"/>
  </r>
  <r>
    <s v="S034"/>
    <n v="34"/>
    <x v="5"/>
    <x v="1"/>
    <x v="0"/>
    <n v="3.76"/>
    <x v="3"/>
    <n v="73.099999999999994"/>
    <n v="0.87"/>
    <x v="0"/>
    <n v="21"/>
    <n v="35"/>
    <n v="0.76"/>
    <n v="3"/>
    <n v="0.74"/>
    <x v="2"/>
  </r>
  <r>
    <s v="S035"/>
    <n v="35"/>
    <x v="6"/>
    <x v="1"/>
    <x v="3"/>
    <n v="3.65"/>
    <x v="3"/>
    <n v="74.900000000000006"/>
    <n v="0.98"/>
    <x v="1"/>
    <n v="17"/>
    <n v="34"/>
    <n v="0.94"/>
    <n v="10"/>
    <n v="0.91"/>
    <x v="2"/>
  </r>
  <r>
    <s v="S036"/>
    <n v="36"/>
    <x v="2"/>
    <x v="0"/>
    <x v="3"/>
    <n v="3.44"/>
    <x v="0"/>
    <n v="90.4"/>
    <n v="0.71"/>
    <x v="1"/>
    <n v="1"/>
    <n v="86"/>
    <n v="0.68"/>
    <n v="19"/>
    <n v="0.91"/>
    <x v="0"/>
  </r>
  <r>
    <s v="S037"/>
    <n v="37"/>
    <x v="1"/>
    <x v="2"/>
    <x v="1"/>
    <n v="2.54"/>
    <x v="0"/>
    <n v="73.599999999999994"/>
    <n v="0.92"/>
    <x v="2"/>
    <n v="8"/>
    <n v="42"/>
    <n v="0.55000000000000004"/>
    <n v="8"/>
    <n v="0.96"/>
    <x v="1"/>
  </r>
  <r>
    <s v="S038"/>
    <n v="38"/>
    <x v="7"/>
    <x v="1"/>
    <x v="1"/>
    <n v="2.8"/>
    <x v="1"/>
    <n v="98.1"/>
    <n v="0.62"/>
    <x v="1"/>
    <n v="2"/>
    <n v="81"/>
    <n v="0.97"/>
    <n v="7"/>
    <n v="0.65"/>
    <x v="0"/>
  </r>
  <r>
    <s v="S039"/>
    <n v="39"/>
    <x v="7"/>
    <x v="0"/>
    <x v="1"/>
    <n v="2.21"/>
    <x v="2"/>
    <n v="89.5"/>
    <n v="0.82"/>
    <x v="1"/>
    <n v="25"/>
    <n v="78"/>
    <n v="0.74"/>
    <n v="7"/>
    <n v="0.97"/>
    <x v="0"/>
  </r>
  <r>
    <s v="S040"/>
    <n v="40"/>
    <x v="3"/>
    <x v="2"/>
    <x v="3"/>
    <n v="2.38"/>
    <x v="0"/>
    <n v="83.9"/>
    <n v="0.63"/>
    <x v="0"/>
    <n v="20"/>
    <n v="15"/>
    <n v="0.75"/>
    <n v="4"/>
    <n v="0.57999999999999996"/>
    <x v="0"/>
  </r>
  <r>
    <s v="S041"/>
    <n v="41"/>
    <x v="3"/>
    <x v="1"/>
    <x v="3"/>
    <n v="3.57"/>
    <x v="1"/>
    <n v="95.2"/>
    <n v="0.97"/>
    <x v="0"/>
    <n v="29"/>
    <n v="32"/>
    <n v="0.81"/>
    <n v="11"/>
    <n v="0.54"/>
    <x v="2"/>
  </r>
  <r>
    <s v="S042"/>
    <n v="42"/>
    <x v="0"/>
    <x v="2"/>
    <x v="2"/>
    <n v="3.43"/>
    <x v="0"/>
    <n v="62"/>
    <n v="0.91"/>
    <x v="0"/>
    <n v="27"/>
    <n v="39"/>
    <n v="0.5"/>
    <n v="0"/>
    <n v="0.72"/>
    <x v="2"/>
  </r>
  <r>
    <s v="S043"/>
    <n v="43"/>
    <x v="5"/>
    <x v="0"/>
    <x v="1"/>
    <n v="3.19"/>
    <x v="2"/>
    <n v="70.3"/>
    <n v="0.86"/>
    <x v="2"/>
    <n v="35"/>
    <n v="87"/>
    <n v="0.97"/>
    <n v="14"/>
    <n v="0.91"/>
    <x v="2"/>
  </r>
  <r>
    <s v="S044"/>
    <n v="44"/>
    <x v="4"/>
    <x v="1"/>
    <x v="1"/>
    <n v="3.79"/>
    <x v="1"/>
    <n v="78.599999999999994"/>
    <n v="0.93"/>
    <x v="1"/>
    <n v="25"/>
    <n v="63"/>
    <n v="0.68"/>
    <n v="17"/>
    <n v="0.74"/>
    <x v="2"/>
  </r>
  <r>
    <s v="S045"/>
    <n v="45"/>
    <x v="1"/>
    <x v="2"/>
    <x v="1"/>
    <n v="3.17"/>
    <x v="2"/>
    <n v="69.099999999999994"/>
    <n v="0.86"/>
    <x v="2"/>
    <n v="33"/>
    <n v="20"/>
    <n v="0.7"/>
    <n v="5"/>
    <n v="0.91"/>
    <x v="2"/>
  </r>
  <r>
    <s v="S046"/>
    <n v="46"/>
    <x v="1"/>
    <x v="1"/>
    <x v="0"/>
    <n v="2.93"/>
    <x v="1"/>
    <n v="89.8"/>
    <n v="0.99"/>
    <x v="1"/>
    <n v="7"/>
    <n v="40"/>
    <n v="0.59"/>
    <n v="9"/>
    <n v="0.86"/>
    <x v="1"/>
  </r>
  <r>
    <s v="S047"/>
    <n v="47"/>
    <x v="4"/>
    <x v="2"/>
    <x v="2"/>
    <n v="2.68"/>
    <x v="0"/>
    <n v="96.8"/>
    <n v="0.89"/>
    <x v="1"/>
    <n v="9"/>
    <n v="15"/>
    <n v="0.69"/>
    <n v="13"/>
    <n v="0.6"/>
    <x v="1"/>
  </r>
  <r>
    <s v="S048"/>
    <n v="48"/>
    <x v="0"/>
    <x v="0"/>
    <x v="1"/>
    <n v="3.88"/>
    <x v="3"/>
    <n v="77"/>
    <n v="0.97"/>
    <x v="1"/>
    <n v="13"/>
    <n v="20"/>
    <n v="0.9"/>
    <n v="7"/>
    <n v="0.97"/>
    <x v="2"/>
  </r>
  <r>
    <s v="S049"/>
    <n v="49"/>
    <x v="6"/>
    <x v="0"/>
    <x v="1"/>
    <n v="2.17"/>
    <x v="0"/>
    <n v="73.7"/>
    <n v="0.81"/>
    <x v="0"/>
    <n v="39"/>
    <n v="86"/>
    <n v="0.9"/>
    <n v="2"/>
    <n v="0.53"/>
    <x v="0"/>
  </r>
  <r>
    <s v="S050"/>
    <n v="50"/>
    <x v="6"/>
    <x v="1"/>
    <x v="1"/>
    <n v="3.86"/>
    <x v="0"/>
    <n v="98.5"/>
    <n v="0.65"/>
    <x v="2"/>
    <n v="14"/>
    <n v="21"/>
    <n v="0.97"/>
    <n v="18"/>
    <n v="0.95"/>
    <x v="0"/>
  </r>
  <r>
    <s v="S051"/>
    <n v="51"/>
    <x v="0"/>
    <x v="2"/>
    <x v="0"/>
    <n v="3.65"/>
    <x v="3"/>
    <n v="77.8"/>
    <n v="0.81"/>
    <x v="2"/>
    <n v="16"/>
    <n v="75"/>
    <n v="0.7"/>
    <n v="11"/>
    <n v="0.65"/>
    <x v="1"/>
  </r>
  <r>
    <s v="S052"/>
    <n v="52"/>
    <x v="6"/>
    <x v="1"/>
    <x v="0"/>
    <n v="2.2599999999999998"/>
    <x v="3"/>
    <n v="79.599999999999994"/>
    <n v="0.65"/>
    <x v="1"/>
    <n v="17"/>
    <n v="62"/>
    <n v="0.85"/>
    <n v="11"/>
    <n v="0.75"/>
    <x v="0"/>
  </r>
  <r>
    <s v="S053"/>
    <n v="53"/>
    <x v="3"/>
    <x v="1"/>
    <x v="3"/>
    <n v="3.13"/>
    <x v="1"/>
    <n v="74.099999999999994"/>
    <n v="0.84"/>
    <x v="2"/>
    <n v="31"/>
    <n v="45"/>
    <n v="0.75"/>
    <n v="14"/>
    <n v="0.71"/>
    <x v="1"/>
  </r>
  <r>
    <s v="S054"/>
    <n v="54"/>
    <x v="1"/>
    <x v="2"/>
    <x v="2"/>
    <n v="3.73"/>
    <x v="1"/>
    <n v="96.4"/>
    <n v="0.79"/>
    <x v="0"/>
    <n v="37"/>
    <n v="26"/>
    <n v="0.9"/>
    <n v="6"/>
    <n v="0.59"/>
    <x v="1"/>
  </r>
  <r>
    <s v="S055"/>
    <n v="55"/>
    <x v="0"/>
    <x v="2"/>
    <x v="3"/>
    <n v="3.14"/>
    <x v="2"/>
    <n v="82.8"/>
    <n v="0.85"/>
    <x v="2"/>
    <n v="22"/>
    <n v="37"/>
    <n v="0.86"/>
    <n v="3"/>
    <n v="0.68"/>
    <x v="2"/>
  </r>
  <r>
    <s v="S056"/>
    <n v="56"/>
    <x v="1"/>
    <x v="2"/>
    <x v="2"/>
    <n v="3.81"/>
    <x v="2"/>
    <n v="90.5"/>
    <n v="0.6"/>
    <x v="1"/>
    <n v="22"/>
    <n v="31"/>
    <n v="0.68"/>
    <n v="8"/>
    <n v="0.6"/>
    <x v="0"/>
  </r>
  <r>
    <s v="S057"/>
    <n v="57"/>
    <x v="4"/>
    <x v="0"/>
    <x v="0"/>
    <n v="3.89"/>
    <x v="0"/>
    <n v="92.5"/>
    <n v="0.68"/>
    <x v="0"/>
    <n v="34"/>
    <n v="16"/>
    <n v="0.67"/>
    <n v="15"/>
    <n v="0.6"/>
    <x v="0"/>
  </r>
  <r>
    <s v="S058"/>
    <n v="58"/>
    <x v="7"/>
    <x v="1"/>
    <x v="1"/>
    <n v="2.84"/>
    <x v="3"/>
    <n v="73.7"/>
    <n v="0.8"/>
    <x v="0"/>
    <n v="38"/>
    <n v="24"/>
    <n v="0.63"/>
    <n v="12"/>
    <n v="0.59"/>
    <x v="1"/>
  </r>
  <r>
    <s v="S059"/>
    <n v="59"/>
    <x v="3"/>
    <x v="1"/>
    <x v="3"/>
    <n v="2.75"/>
    <x v="2"/>
    <n v="77.3"/>
    <n v="0.98"/>
    <x v="1"/>
    <n v="14"/>
    <n v="20"/>
    <n v="0.79"/>
    <n v="3"/>
    <n v="0.74"/>
    <x v="1"/>
  </r>
  <r>
    <s v="S060"/>
    <n v="60"/>
    <x v="2"/>
    <x v="0"/>
    <x v="1"/>
    <n v="3.87"/>
    <x v="0"/>
    <n v="93.9"/>
    <n v="0.75"/>
    <x v="2"/>
    <n v="23"/>
    <n v="33"/>
    <n v="0.98"/>
    <n v="8"/>
    <n v="0.9"/>
    <x v="1"/>
  </r>
  <r>
    <s v="S061"/>
    <n v="61"/>
    <x v="3"/>
    <x v="2"/>
    <x v="3"/>
    <n v="3.35"/>
    <x v="3"/>
    <n v="74.5"/>
    <n v="0.77"/>
    <x v="1"/>
    <n v="27"/>
    <n v="76"/>
    <n v="0.6"/>
    <n v="17"/>
    <n v="0.78"/>
    <x v="1"/>
  </r>
  <r>
    <s v="S062"/>
    <n v="62"/>
    <x v="0"/>
    <x v="0"/>
    <x v="0"/>
    <n v="2.23"/>
    <x v="1"/>
    <n v="91.8"/>
    <n v="0.89"/>
    <x v="2"/>
    <n v="15"/>
    <n v="39"/>
    <n v="0.55000000000000004"/>
    <n v="14"/>
    <n v="0.95"/>
    <x v="0"/>
  </r>
  <r>
    <s v="S063"/>
    <n v="63"/>
    <x v="2"/>
    <x v="0"/>
    <x v="0"/>
    <n v="2.08"/>
    <x v="0"/>
    <n v="97.6"/>
    <n v="0.84"/>
    <x v="2"/>
    <n v="15"/>
    <n v="79"/>
    <n v="0.56000000000000005"/>
    <n v="14"/>
    <n v="0.82"/>
    <x v="0"/>
  </r>
  <r>
    <s v="S064"/>
    <n v="64"/>
    <x v="7"/>
    <x v="0"/>
    <x v="0"/>
    <n v="3.13"/>
    <x v="1"/>
    <n v="84.9"/>
    <n v="0.72"/>
    <x v="0"/>
    <n v="39"/>
    <n v="75"/>
    <n v="0.89"/>
    <n v="5"/>
    <n v="0.84"/>
    <x v="0"/>
  </r>
  <r>
    <s v="S065"/>
    <n v="65"/>
    <x v="0"/>
    <x v="1"/>
    <x v="3"/>
    <n v="3.86"/>
    <x v="2"/>
    <n v="89.7"/>
    <n v="0.76"/>
    <x v="1"/>
    <n v="38"/>
    <n v="70"/>
    <n v="0.68"/>
    <n v="10"/>
    <n v="0.83"/>
    <x v="1"/>
  </r>
  <r>
    <s v="S066"/>
    <n v="66"/>
    <x v="5"/>
    <x v="0"/>
    <x v="2"/>
    <n v="3.69"/>
    <x v="2"/>
    <n v="92.2"/>
    <n v="0.69"/>
    <x v="0"/>
    <n v="5"/>
    <n v="87"/>
    <n v="0.61"/>
    <n v="7"/>
    <n v="0.72"/>
    <x v="0"/>
  </r>
  <r>
    <s v="S067"/>
    <n v="67"/>
    <x v="1"/>
    <x v="1"/>
    <x v="3"/>
    <n v="3.35"/>
    <x v="3"/>
    <n v="93.8"/>
    <n v="0.99"/>
    <x v="1"/>
    <n v="1"/>
    <n v="50"/>
    <n v="0.68"/>
    <n v="16"/>
    <n v="0.84"/>
    <x v="2"/>
  </r>
  <r>
    <s v="S068"/>
    <n v="68"/>
    <x v="7"/>
    <x v="1"/>
    <x v="2"/>
    <n v="2.2799999999999998"/>
    <x v="0"/>
    <n v="75.8"/>
    <n v="0.65"/>
    <x v="1"/>
    <n v="12"/>
    <n v="60"/>
    <n v="0.82"/>
    <n v="16"/>
    <n v="0.53"/>
    <x v="0"/>
  </r>
  <r>
    <s v="S069"/>
    <n v="69"/>
    <x v="1"/>
    <x v="1"/>
    <x v="3"/>
    <n v="2.5099999999999998"/>
    <x v="1"/>
    <n v="62.1"/>
    <n v="0.75"/>
    <x v="0"/>
    <n v="8"/>
    <n v="53"/>
    <n v="0.77"/>
    <n v="17"/>
    <n v="0.93"/>
    <x v="1"/>
  </r>
  <r>
    <s v="S070"/>
    <n v="70"/>
    <x v="6"/>
    <x v="2"/>
    <x v="3"/>
    <n v="3.75"/>
    <x v="3"/>
    <n v="76.099999999999994"/>
    <n v="0.61"/>
    <x v="1"/>
    <n v="33"/>
    <n v="22"/>
    <n v="0.87"/>
    <n v="3"/>
    <n v="0.89"/>
    <x v="0"/>
  </r>
  <r>
    <s v="S071"/>
    <n v="71"/>
    <x v="5"/>
    <x v="1"/>
    <x v="0"/>
    <n v="2.37"/>
    <x v="2"/>
    <n v="87"/>
    <n v="0.69"/>
    <x v="1"/>
    <n v="16"/>
    <n v="21"/>
    <n v="0.67"/>
    <n v="14"/>
    <n v="0.62"/>
    <x v="0"/>
  </r>
  <r>
    <s v="S072"/>
    <n v="72"/>
    <x v="5"/>
    <x v="1"/>
    <x v="1"/>
    <n v="2.56"/>
    <x v="2"/>
    <n v="78"/>
    <n v="0.91"/>
    <x v="2"/>
    <n v="26"/>
    <n v="18"/>
    <n v="0.73"/>
    <n v="1"/>
    <n v="0.88"/>
    <x v="1"/>
  </r>
  <r>
    <s v="S073"/>
    <n v="73"/>
    <x v="7"/>
    <x v="2"/>
    <x v="1"/>
    <n v="2.2599999999999998"/>
    <x v="0"/>
    <n v="90"/>
    <n v="0.68"/>
    <x v="1"/>
    <n v="28"/>
    <n v="57"/>
    <n v="0.55000000000000004"/>
    <n v="1"/>
    <n v="0.51"/>
    <x v="0"/>
  </r>
  <r>
    <s v="S074"/>
    <n v="74"/>
    <x v="5"/>
    <x v="1"/>
    <x v="2"/>
    <n v="3.35"/>
    <x v="1"/>
    <n v="74.3"/>
    <n v="0.63"/>
    <x v="1"/>
    <n v="36"/>
    <n v="58"/>
    <n v="0.54"/>
    <n v="9"/>
    <n v="0.61"/>
    <x v="0"/>
  </r>
  <r>
    <s v="S075"/>
    <n v="75"/>
    <x v="2"/>
    <x v="0"/>
    <x v="1"/>
    <n v="3.89"/>
    <x v="0"/>
    <n v="85.4"/>
    <n v="0.79"/>
    <x v="0"/>
    <n v="21"/>
    <n v="62"/>
    <n v="0.73"/>
    <n v="2"/>
    <n v="0.53"/>
    <x v="1"/>
  </r>
  <r>
    <s v="S076"/>
    <n v="76"/>
    <x v="5"/>
    <x v="0"/>
    <x v="3"/>
    <n v="2.54"/>
    <x v="1"/>
    <n v="67.5"/>
    <n v="0.6"/>
    <x v="0"/>
    <n v="23"/>
    <n v="65"/>
    <n v="0.65"/>
    <n v="7"/>
    <n v="0.89"/>
    <x v="0"/>
  </r>
  <r>
    <s v="S077"/>
    <n v="77"/>
    <x v="1"/>
    <x v="1"/>
    <x v="3"/>
    <n v="2.95"/>
    <x v="1"/>
    <n v="90"/>
    <n v="0.63"/>
    <x v="1"/>
    <n v="6"/>
    <n v="49"/>
    <n v="0.81"/>
    <n v="19"/>
    <n v="0.88"/>
    <x v="0"/>
  </r>
  <r>
    <s v="S078"/>
    <n v="78"/>
    <x v="1"/>
    <x v="2"/>
    <x v="0"/>
    <n v="3.27"/>
    <x v="0"/>
    <n v="81.8"/>
    <n v="0.92"/>
    <x v="2"/>
    <n v="33"/>
    <n v="33"/>
    <n v="0.52"/>
    <n v="6"/>
    <n v="0.91"/>
    <x v="2"/>
  </r>
  <r>
    <s v="S079"/>
    <n v="79"/>
    <x v="0"/>
    <x v="0"/>
    <x v="0"/>
    <n v="4"/>
    <x v="3"/>
    <n v="68.2"/>
    <n v="0.91"/>
    <x v="2"/>
    <n v="11"/>
    <n v="81"/>
    <n v="0.56000000000000005"/>
    <n v="11"/>
    <n v="0.5"/>
    <x v="2"/>
  </r>
  <r>
    <s v="S080"/>
    <n v="80"/>
    <x v="1"/>
    <x v="2"/>
    <x v="1"/>
    <n v="2.21"/>
    <x v="0"/>
    <n v="71.7"/>
    <n v="0.97"/>
    <x v="0"/>
    <n v="22"/>
    <n v="42"/>
    <n v="0.93"/>
    <n v="18"/>
    <n v="0.75"/>
    <x v="0"/>
  </r>
  <r>
    <s v="S081"/>
    <n v="81"/>
    <x v="0"/>
    <x v="2"/>
    <x v="2"/>
    <n v="3"/>
    <x v="0"/>
    <n v="89.9"/>
    <n v="0.94"/>
    <x v="1"/>
    <n v="14"/>
    <n v="32"/>
    <n v="0.78"/>
    <n v="14"/>
    <n v="0.85"/>
    <x v="2"/>
  </r>
  <r>
    <s v="S082"/>
    <n v="82"/>
    <x v="1"/>
    <x v="0"/>
    <x v="1"/>
    <n v="2.77"/>
    <x v="2"/>
    <n v="79.3"/>
    <n v="0.87"/>
    <x v="1"/>
    <n v="32"/>
    <n v="86"/>
    <n v="0.86"/>
    <n v="13"/>
    <n v="0.57999999999999996"/>
    <x v="1"/>
  </r>
  <r>
    <s v="S083"/>
    <n v="83"/>
    <x v="2"/>
    <x v="2"/>
    <x v="1"/>
    <n v="3.73"/>
    <x v="2"/>
    <n v="68.599999999999994"/>
    <n v="0.62"/>
    <x v="2"/>
    <n v="12"/>
    <n v="63"/>
    <n v="0.92"/>
    <n v="15"/>
    <n v="0.82"/>
    <x v="0"/>
  </r>
  <r>
    <s v="S084"/>
    <n v="84"/>
    <x v="4"/>
    <x v="0"/>
    <x v="1"/>
    <n v="2.95"/>
    <x v="0"/>
    <n v="98.7"/>
    <n v="0.91"/>
    <x v="2"/>
    <n v="22"/>
    <n v="62"/>
    <n v="0.73"/>
    <n v="13"/>
    <n v="0.54"/>
    <x v="1"/>
  </r>
  <r>
    <s v="S085"/>
    <n v="85"/>
    <x v="0"/>
    <x v="2"/>
    <x v="1"/>
    <n v="2.2200000000000002"/>
    <x v="0"/>
    <n v="88.6"/>
    <n v="0.94"/>
    <x v="2"/>
    <n v="37"/>
    <n v="58"/>
    <n v="0.88"/>
    <n v="2"/>
    <n v="0.59"/>
    <x v="0"/>
  </r>
  <r>
    <s v="S086"/>
    <n v="86"/>
    <x v="3"/>
    <x v="0"/>
    <x v="3"/>
    <n v="3.27"/>
    <x v="2"/>
    <n v="98.3"/>
    <n v="0.92"/>
    <x v="0"/>
    <n v="31"/>
    <n v="87"/>
    <n v="0.76"/>
    <n v="17"/>
    <n v="0.74"/>
    <x v="2"/>
  </r>
  <r>
    <s v="S087"/>
    <n v="87"/>
    <x v="6"/>
    <x v="1"/>
    <x v="2"/>
    <n v="3.54"/>
    <x v="1"/>
    <n v="77.099999999999994"/>
    <n v="0.8"/>
    <x v="1"/>
    <n v="34"/>
    <n v="87"/>
    <n v="0.61"/>
    <n v="5"/>
    <n v="0.83"/>
    <x v="1"/>
  </r>
  <r>
    <s v="S088"/>
    <n v="88"/>
    <x v="7"/>
    <x v="0"/>
    <x v="3"/>
    <n v="2.0099999999999998"/>
    <x v="0"/>
    <n v="79"/>
    <n v="0.69"/>
    <x v="0"/>
    <n v="0"/>
    <n v="89"/>
    <n v="0.67"/>
    <n v="16"/>
    <n v="0.56999999999999995"/>
    <x v="0"/>
  </r>
  <r>
    <s v="S089"/>
    <n v="89"/>
    <x v="1"/>
    <x v="0"/>
    <x v="2"/>
    <n v="3.72"/>
    <x v="3"/>
    <n v="95.9"/>
    <n v="0.94"/>
    <x v="1"/>
    <n v="4"/>
    <n v="58"/>
    <n v="0.75"/>
    <n v="13"/>
    <n v="0.59"/>
    <x v="2"/>
  </r>
  <r>
    <s v="S090"/>
    <n v="90"/>
    <x v="5"/>
    <x v="0"/>
    <x v="0"/>
    <n v="2.37"/>
    <x v="3"/>
    <n v="81"/>
    <n v="0.89"/>
    <x v="0"/>
    <n v="12"/>
    <n v="69"/>
    <n v="0.66"/>
    <n v="13"/>
    <n v="0.6"/>
    <x v="0"/>
  </r>
  <r>
    <s v="S091"/>
    <n v="91"/>
    <x v="4"/>
    <x v="0"/>
    <x v="1"/>
    <n v="3.1"/>
    <x v="3"/>
    <n v="88.3"/>
    <n v="0.99"/>
    <x v="1"/>
    <n v="4"/>
    <n v="74"/>
    <n v="0.67"/>
    <n v="19"/>
    <n v="0.62"/>
    <x v="2"/>
  </r>
  <r>
    <s v="S092"/>
    <n v="92"/>
    <x v="1"/>
    <x v="2"/>
    <x v="3"/>
    <n v="2.83"/>
    <x v="0"/>
    <n v="70.099999999999994"/>
    <n v="0.66"/>
    <x v="2"/>
    <n v="31"/>
    <n v="41"/>
    <n v="0.67"/>
    <n v="12"/>
    <n v="0.61"/>
    <x v="0"/>
  </r>
  <r>
    <s v="S093"/>
    <n v="93"/>
    <x v="5"/>
    <x v="1"/>
    <x v="2"/>
    <n v="3.44"/>
    <x v="1"/>
    <n v="77.900000000000006"/>
    <n v="0.69"/>
    <x v="2"/>
    <n v="20"/>
    <n v="88"/>
    <n v="0.56000000000000005"/>
    <n v="2"/>
    <n v="0.7"/>
    <x v="0"/>
  </r>
  <r>
    <s v="S094"/>
    <n v="94"/>
    <x v="6"/>
    <x v="0"/>
    <x v="0"/>
    <n v="2.74"/>
    <x v="1"/>
    <n v="64.900000000000006"/>
    <n v="0.68"/>
    <x v="2"/>
    <n v="23"/>
    <n v="30"/>
    <n v="0.54"/>
    <n v="12"/>
    <n v="0.83"/>
    <x v="0"/>
  </r>
  <r>
    <s v="S095"/>
    <n v="95"/>
    <x v="6"/>
    <x v="2"/>
    <x v="0"/>
    <n v="3.74"/>
    <x v="2"/>
    <n v="68.2"/>
    <n v="0.92"/>
    <x v="0"/>
    <n v="17"/>
    <n v="27"/>
    <n v="0.52"/>
    <n v="1"/>
    <n v="0.72"/>
    <x v="2"/>
  </r>
  <r>
    <s v="S096"/>
    <n v="96"/>
    <x v="6"/>
    <x v="1"/>
    <x v="1"/>
    <n v="3.46"/>
    <x v="0"/>
    <n v="60"/>
    <n v="0.67"/>
    <x v="2"/>
    <n v="20"/>
    <n v="69"/>
    <n v="0.56000000000000005"/>
    <n v="8"/>
    <n v="0.89"/>
    <x v="0"/>
  </r>
  <r>
    <s v="S097"/>
    <n v="97"/>
    <x v="5"/>
    <x v="1"/>
    <x v="2"/>
    <n v="3.3"/>
    <x v="1"/>
    <n v="61.6"/>
    <n v="0.63"/>
    <x v="1"/>
    <n v="9"/>
    <n v="22"/>
    <n v="0.67"/>
    <n v="12"/>
    <n v="0.86"/>
    <x v="0"/>
  </r>
  <r>
    <s v="S098"/>
    <n v="98"/>
    <x v="1"/>
    <x v="1"/>
    <x v="3"/>
    <n v="3.59"/>
    <x v="0"/>
    <n v="99.1"/>
    <n v="1"/>
    <x v="0"/>
    <n v="23"/>
    <n v="33"/>
    <n v="0.8"/>
    <n v="7"/>
    <n v="0.56000000000000005"/>
    <x v="2"/>
  </r>
  <r>
    <s v="S099"/>
    <n v="99"/>
    <x v="6"/>
    <x v="1"/>
    <x v="1"/>
    <n v="3.51"/>
    <x v="2"/>
    <n v="69.7"/>
    <n v="0.61"/>
    <x v="1"/>
    <n v="39"/>
    <n v="39"/>
    <n v="0.59"/>
    <n v="15"/>
    <n v="0.52"/>
    <x v="0"/>
  </r>
  <r>
    <s v="S100"/>
    <n v="100"/>
    <x v="2"/>
    <x v="0"/>
    <x v="3"/>
    <n v="2.0699999999999998"/>
    <x v="2"/>
    <n v="86.5"/>
    <n v="0.93"/>
    <x v="0"/>
    <n v="20"/>
    <n v="11"/>
    <n v="0.94"/>
    <n v="2"/>
    <n v="0.94"/>
    <x v="0"/>
  </r>
  <r>
    <s v="S101"/>
    <n v="101"/>
    <x v="0"/>
    <x v="0"/>
    <x v="0"/>
    <n v="2.79"/>
    <x v="2"/>
    <n v="93.6"/>
    <n v="0.75"/>
    <x v="1"/>
    <n v="24"/>
    <n v="34"/>
    <n v="0.9"/>
    <n v="12"/>
    <n v="0.54"/>
    <x v="1"/>
  </r>
  <r>
    <s v="S102"/>
    <n v="102"/>
    <x v="5"/>
    <x v="2"/>
    <x v="3"/>
    <n v="3.86"/>
    <x v="3"/>
    <n v="82"/>
    <n v="0.94"/>
    <x v="1"/>
    <n v="22"/>
    <n v="59"/>
    <n v="0.76"/>
    <n v="3"/>
    <n v="0.56999999999999995"/>
    <x v="2"/>
  </r>
  <r>
    <s v="S103"/>
    <n v="103"/>
    <x v="5"/>
    <x v="2"/>
    <x v="3"/>
    <n v="2.25"/>
    <x v="0"/>
    <n v="66.099999999999994"/>
    <n v="0.82"/>
    <x v="0"/>
    <n v="21"/>
    <n v="23"/>
    <n v="0.86"/>
    <n v="17"/>
    <n v="0.51"/>
    <x v="0"/>
  </r>
  <r>
    <s v="S104"/>
    <n v="104"/>
    <x v="1"/>
    <x v="2"/>
    <x v="1"/>
    <n v="3.47"/>
    <x v="2"/>
    <n v="89.1"/>
    <n v="0.96"/>
    <x v="0"/>
    <n v="3"/>
    <n v="15"/>
    <n v="0.68"/>
    <n v="1"/>
    <n v="0.81"/>
    <x v="2"/>
  </r>
  <r>
    <s v="S105"/>
    <n v="105"/>
    <x v="5"/>
    <x v="1"/>
    <x v="3"/>
    <n v="3.95"/>
    <x v="0"/>
    <n v="84"/>
    <n v="0.97"/>
    <x v="2"/>
    <n v="33"/>
    <n v="85"/>
    <n v="0.52"/>
    <n v="19"/>
    <n v="0.79"/>
    <x v="2"/>
  </r>
  <r>
    <s v="S106"/>
    <n v="106"/>
    <x v="5"/>
    <x v="1"/>
    <x v="1"/>
    <n v="2.1"/>
    <x v="3"/>
    <n v="89.3"/>
    <n v="0.6"/>
    <x v="2"/>
    <n v="5"/>
    <n v="39"/>
    <n v="0.95"/>
    <n v="14"/>
    <n v="0.99"/>
    <x v="0"/>
  </r>
  <r>
    <s v="S107"/>
    <n v="107"/>
    <x v="6"/>
    <x v="0"/>
    <x v="0"/>
    <n v="3.36"/>
    <x v="3"/>
    <n v="90.8"/>
    <n v="0.63"/>
    <x v="1"/>
    <n v="27"/>
    <n v="39"/>
    <n v="0.56000000000000005"/>
    <n v="16"/>
    <n v="0.94"/>
    <x v="0"/>
  </r>
  <r>
    <s v="S108"/>
    <n v="108"/>
    <x v="1"/>
    <x v="1"/>
    <x v="1"/>
    <n v="2.94"/>
    <x v="2"/>
    <n v="99"/>
    <n v="0.7"/>
    <x v="1"/>
    <n v="30"/>
    <n v="47"/>
    <n v="0.97"/>
    <n v="9"/>
    <n v="0.71"/>
    <x v="0"/>
  </r>
  <r>
    <s v="S109"/>
    <n v="109"/>
    <x v="6"/>
    <x v="1"/>
    <x v="1"/>
    <n v="3.16"/>
    <x v="2"/>
    <n v="82.9"/>
    <n v="0.87"/>
    <x v="1"/>
    <n v="34"/>
    <n v="67"/>
    <n v="0.79"/>
    <n v="0"/>
    <n v="0.69"/>
    <x v="2"/>
  </r>
  <r>
    <s v="S110"/>
    <n v="110"/>
    <x v="0"/>
    <x v="1"/>
    <x v="2"/>
    <n v="2.17"/>
    <x v="1"/>
    <n v="73.7"/>
    <n v="0.96"/>
    <x v="0"/>
    <n v="38"/>
    <n v="50"/>
    <n v="0.65"/>
    <n v="5"/>
    <n v="0.65"/>
    <x v="0"/>
  </r>
  <r>
    <s v="S111"/>
    <n v="111"/>
    <x v="4"/>
    <x v="2"/>
    <x v="3"/>
    <n v="2.09"/>
    <x v="0"/>
    <n v="85.9"/>
    <n v="0.78"/>
    <x v="0"/>
    <n v="22"/>
    <n v="66"/>
    <n v="0.75"/>
    <n v="2"/>
    <n v="0.57999999999999996"/>
    <x v="0"/>
  </r>
  <r>
    <s v="S112"/>
    <n v="112"/>
    <x v="0"/>
    <x v="2"/>
    <x v="0"/>
    <n v="3.33"/>
    <x v="2"/>
    <n v="62.7"/>
    <n v="0.84"/>
    <x v="2"/>
    <n v="5"/>
    <n v="45"/>
    <n v="0.75"/>
    <n v="18"/>
    <n v="0.56999999999999995"/>
    <x v="1"/>
  </r>
  <r>
    <s v="S113"/>
    <n v="113"/>
    <x v="4"/>
    <x v="0"/>
    <x v="1"/>
    <n v="3.65"/>
    <x v="1"/>
    <n v="95.9"/>
    <n v="0.68"/>
    <x v="1"/>
    <n v="15"/>
    <n v="73"/>
    <n v="0.51"/>
    <n v="6"/>
    <n v="0.56999999999999995"/>
    <x v="0"/>
  </r>
  <r>
    <s v="S114"/>
    <n v="114"/>
    <x v="6"/>
    <x v="1"/>
    <x v="0"/>
    <n v="3.56"/>
    <x v="0"/>
    <n v="64.8"/>
    <n v="0.92"/>
    <x v="2"/>
    <n v="1"/>
    <n v="25"/>
    <n v="0.68"/>
    <n v="12"/>
    <n v="0.56000000000000005"/>
    <x v="2"/>
  </r>
  <r>
    <s v="S115"/>
    <n v="115"/>
    <x v="0"/>
    <x v="1"/>
    <x v="2"/>
    <n v="3.09"/>
    <x v="2"/>
    <n v="73.099999999999994"/>
    <n v="0.99"/>
    <x v="0"/>
    <n v="23"/>
    <n v="87"/>
    <n v="0.87"/>
    <n v="12"/>
    <n v="0.62"/>
    <x v="2"/>
  </r>
  <r>
    <s v="S116"/>
    <n v="116"/>
    <x v="1"/>
    <x v="0"/>
    <x v="3"/>
    <n v="2.2000000000000002"/>
    <x v="1"/>
    <n v="92.6"/>
    <n v="0.71"/>
    <x v="0"/>
    <n v="16"/>
    <n v="81"/>
    <n v="0.76"/>
    <n v="16"/>
    <n v="0.65"/>
    <x v="0"/>
  </r>
  <r>
    <s v="S117"/>
    <n v="117"/>
    <x v="7"/>
    <x v="1"/>
    <x v="1"/>
    <n v="3.38"/>
    <x v="1"/>
    <n v="83.9"/>
    <n v="0.8"/>
    <x v="0"/>
    <n v="0"/>
    <n v="23"/>
    <n v="0.62"/>
    <n v="0"/>
    <n v="0.98"/>
    <x v="1"/>
  </r>
  <r>
    <s v="S118"/>
    <n v="118"/>
    <x v="6"/>
    <x v="1"/>
    <x v="3"/>
    <n v="2.48"/>
    <x v="0"/>
    <n v="75.7"/>
    <n v="0.63"/>
    <x v="2"/>
    <n v="5"/>
    <n v="40"/>
    <n v="0.67"/>
    <n v="13"/>
    <n v="0.79"/>
    <x v="0"/>
  </r>
  <r>
    <s v="S119"/>
    <n v="119"/>
    <x v="4"/>
    <x v="2"/>
    <x v="2"/>
    <n v="3.82"/>
    <x v="1"/>
    <n v="78.900000000000006"/>
    <n v="0.82"/>
    <x v="0"/>
    <n v="4"/>
    <n v="75"/>
    <n v="0.93"/>
    <n v="2"/>
    <n v="0.99"/>
    <x v="1"/>
  </r>
  <r>
    <s v="S120"/>
    <n v="120"/>
    <x v="2"/>
    <x v="0"/>
    <x v="2"/>
    <n v="3.68"/>
    <x v="0"/>
    <n v="94.2"/>
    <n v="0.8"/>
    <x v="1"/>
    <n v="28"/>
    <n v="77"/>
    <n v="0.76"/>
    <n v="13"/>
    <n v="0.69"/>
    <x v="1"/>
  </r>
  <r>
    <s v="S121"/>
    <n v="121"/>
    <x v="4"/>
    <x v="0"/>
    <x v="0"/>
    <n v="3.42"/>
    <x v="0"/>
    <n v="73.599999999999994"/>
    <n v="0.66"/>
    <x v="2"/>
    <n v="11"/>
    <n v="74"/>
    <n v="0.76"/>
    <n v="0"/>
    <n v="0.73"/>
    <x v="0"/>
  </r>
  <r>
    <s v="S122"/>
    <n v="122"/>
    <x v="2"/>
    <x v="0"/>
    <x v="1"/>
    <n v="3.9"/>
    <x v="0"/>
    <n v="94.8"/>
    <n v="0.78"/>
    <x v="0"/>
    <n v="38"/>
    <n v="64"/>
    <n v="0.98"/>
    <n v="15"/>
    <n v="0.66"/>
    <x v="1"/>
  </r>
  <r>
    <s v="S123"/>
    <n v="123"/>
    <x v="5"/>
    <x v="0"/>
    <x v="0"/>
    <n v="2.06"/>
    <x v="3"/>
    <n v="63.5"/>
    <n v="0.73"/>
    <x v="2"/>
    <n v="2"/>
    <n v="87"/>
    <n v="0.66"/>
    <n v="9"/>
    <n v="0.59"/>
    <x v="0"/>
  </r>
  <r>
    <s v="S124"/>
    <n v="124"/>
    <x v="0"/>
    <x v="2"/>
    <x v="2"/>
    <n v="3.47"/>
    <x v="1"/>
    <n v="91.1"/>
    <n v="0.81"/>
    <x v="2"/>
    <n v="0"/>
    <n v="49"/>
    <n v="0.74"/>
    <n v="12"/>
    <n v="0.56999999999999995"/>
    <x v="1"/>
  </r>
  <r>
    <s v="S125"/>
    <n v="125"/>
    <x v="2"/>
    <x v="2"/>
    <x v="3"/>
    <n v="2.66"/>
    <x v="0"/>
    <n v="93.9"/>
    <n v="0.83"/>
    <x v="0"/>
    <n v="26"/>
    <n v="34"/>
    <n v="0.91"/>
    <n v="3"/>
    <n v="0.97"/>
    <x v="1"/>
  </r>
  <r>
    <s v="S126"/>
    <n v="126"/>
    <x v="4"/>
    <x v="1"/>
    <x v="0"/>
    <n v="3.81"/>
    <x v="2"/>
    <n v="67.3"/>
    <n v="0.6"/>
    <x v="0"/>
    <n v="23"/>
    <n v="34"/>
    <n v="0.88"/>
    <n v="8"/>
    <n v="0.99"/>
    <x v="0"/>
  </r>
  <r>
    <s v="S127"/>
    <n v="127"/>
    <x v="5"/>
    <x v="1"/>
    <x v="0"/>
    <n v="2.5299999999999998"/>
    <x v="3"/>
    <n v="77.2"/>
    <n v="0.9"/>
    <x v="2"/>
    <n v="18"/>
    <n v="12"/>
    <n v="0.63"/>
    <n v="13"/>
    <n v="0.52"/>
    <x v="1"/>
  </r>
  <r>
    <s v="S128"/>
    <n v="128"/>
    <x v="7"/>
    <x v="1"/>
    <x v="3"/>
    <n v="3.45"/>
    <x v="3"/>
    <n v="66.599999999999994"/>
    <n v="0.89"/>
    <x v="2"/>
    <n v="7"/>
    <n v="78"/>
    <n v="0.57999999999999996"/>
    <n v="3"/>
    <n v="0.57999999999999996"/>
    <x v="2"/>
  </r>
  <r>
    <s v="S129"/>
    <n v="129"/>
    <x v="1"/>
    <x v="1"/>
    <x v="0"/>
    <n v="3.76"/>
    <x v="1"/>
    <n v="88.3"/>
    <n v="0.75"/>
    <x v="0"/>
    <n v="1"/>
    <n v="35"/>
    <n v="0.85"/>
    <n v="9"/>
    <n v="0.71"/>
    <x v="1"/>
  </r>
  <r>
    <s v="S130"/>
    <n v="130"/>
    <x v="1"/>
    <x v="2"/>
    <x v="3"/>
    <n v="2.08"/>
    <x v="0"/>
    <n v="81.400000000000006"/>
    <n v="0.62"/>
    <x v="1"/>
    <n v="29"/>
    <n v="49"/>
    <n v="0.63"/>
    <n v="7"/>
    <n v="0.59"/>
    <x v="0"/>
  </r>
  <r>
    <s v="S131"/>
    <n v="131"/>
    <x v="1"/>
    <x v="0"/>
    <x v="1"/>
    <n v="2.8"/>
    <x v="1"/>
    <n v="85.4"/>
    <n v="0.9"/>
    <x v="2"/>
    <n v="29"/>
    <n v="47"/>
    <n v="0.96"/>
    <n v="2"/>
    <n v="0.68"/>
    <x v="1"/>
  </r>
  <r>
    <s v="S132"/>
    <n v="132"/>
    <x v="2"/>
    <x v="2"/>
    <x v="3"/>
    <n v="3.52"/>
    <x v="3"/>
    <n v="67.900000000000006"/>
    <n v="0.98"/>
    <x v="2"/>
    <n v="38"/>
    <n v="47"/>
    <n v="0.56000000000000005"/>
    <n v="6"/>
    <n v="0.56000000000000005"/>
    <x v="2"/>
  </r>
  <r>
    <s v="S133"/>
    <n v="133"/>
    <x v="7"/>
    <x v="1"/>
    <x v="1"/>
    <n v="2.91"/>
    <x v="0"/>
    <n v="68.5"/>
    <n v="0.7"/>
    <x v="1"/>
    <n v="31"/>
    <n v="77"/>
    <n v="0.66"/>
    <n v="9"/>
    <n v="0.73"/>
    <x v="0"/>
  </r>
  <r>
    <s v="S134"/>
    <n v="134"/>
    <x v="2"/>
    <x v="2"/>
    <x v="3"/>
    <n v="2.5299999999999998"/>
    <x v="2"/>
    <n v="61.7"/>
    <n v="0.73"/>
    <x v="0"/>
    <n v="0"/>
    <n v="16"/>
    <n v="0.53"/>
    <n v="2"/>
    <n v="0.64"/>
    <x v="0"/>
  </r>
  <r>
    <s v="S135"/>
    <n v="135"/>
    <x v="0"/>
    <x v="0"/>
    <x v="2"/>
    <n v="2.44"/>
    <x v="0"/>
    <n v="72.900000000000006"/>
    <n v="0.67"/>
    <x v="0"/>
    <n v="37"/>
    <n v="39"/>
    <n v="0.85"/>
    <n v="1"/>
    <n v="0.68"/>
    <x v="0"/>
  </r>
  <r>
    <s v="S136"/>
    <n v="136"/>
    <x v="2"/>
    <x v="0"/>
    <x v="2"/>
    <n v="2.2599999999999998"/>
    <x v="3"/>
    <n v="82.4"/>
    <n v="0.83"/>
    <x v="1"/>
    <n v="12"/>
    <n v="28"/>
    <n v="0.95"/>
    <n v="14"/>
    <n v="0.55000000000000004"/>
    <x v="0"/>
  </r>
  <r>
    <s v="S137"/>
    <n v="137"/>
    <x v="7"/>
    <x v="2"/>
    <x v="1"/>
    <n v="3.71"/>
    <x v="2"/>
    <n v="94.3"/>
    <n v="0.66"/>
    <x v="0"/>
    <n v="10"/>
    <n v="44"/>
    <n v="0.82"/>
    <n v="8"/>
    <n v="0.71"/>
    <x v="0"/>
  </r>
  <r>
    <s v="S138"/>
    <n v="138"/>
    <x v="7"/>
    <x v="2"/>
    <x v="1"/>
    <n v="3.15"/>
    <x v="0"/>
    <n v="86.7"/>
    <n v="0.74"/>
    <x v="0"/>
    <n v="9"/>
    <n v="42"/>
    <n v="0.97"/>
    <n v="14"/>
    <n v="0.99"/>
    <x v="0"/>
  </r>
  <r>
    <s v="S139"/>
    <n v="139"/>
    <x v="0"/>
    <x v="2"/>
    <x v="2"/>
    <n v="2.15"/>
    <x v="2"/>
    <n v="77.400000000000006"/>
    <n v="0.88"/>
    <x v="2"/>
    <n v="25"/>
    <n v="42"/>
    <n v="0.56000000000000005"/>
    <n v="16"/>
    <n v="0.66"/>
    <x v="0"/>
  </r>
  <r>
    <s v="S140"/>
    <n v="140"/>
    <x v="7"/>
    <x v="1"/>
    <x v="1"/>
    <n v="2.77"/>
    <x v="2"/>
    <n v="98.1"/>
    <n v="0.82"/>
    <x v="2"/>
    <n v="19"/>
    <n v="87"/>
    <n v="0.54"/>
    <n v="6"/>
    <n v="0.94"/>
    <x v="1"/>
  </r>
  <r>
    <s v="S141"/>
    <n v="141"/>
    <x v="4"/>
    <x v="2"/>
    <x v="3"/>
    <n v="2.74"/>
    <x v="3"/>
    <n v="88.8"/>
    <n v="0.75"/>
    <x v="2"/>
    <n v="16"/>
    <n v="47"/>
    <n v="0.92"/>
    <n v="19"/>
    <n v="0.92"/>
    <x v="1"/>
  </r>
  <r>
    <s v="S142"/>
    <n v="142"/>
    <x v="7"/>
    <x v="2"/>
    <x v="3"/>
    <n v="2.36"/>
    <x v="2"/>
    <n v="97.2"/>
    <n v="0.77"/>
    <x v="1"/>
    <n v="16"/>
    <n v="19"/>
    <n v="0.93"/>
    <n v="17"/>
    <n v="0.98"/>
    <x v="0"/>
  </r>
  <r>
    <s v="S143"/>
    <n v="143"/>
    <x v="1"/>
    <x v="2"/>
    <x v="2"/>
    <n v="2.87"/>
    <x v="1"/>
    <n v="81.099999999999994"/>
    <n v="0.82"/>
    <x v="0"/>
    <n v="3"/>
    <n v="66"/>
    <n v="0.92"/>
    <n v="14"/>
    <n v="0.9"/>
    <x v="1"/>
  </r>
  <r>
    <s v="S144"/>
    <n v="144"/>
    <x v="4"/>
    <x v="0"/>
    <x v="0"/>
    <n v="2.66"/>
    <x v="3"/>
    <n v="70.400000000000006"/>
    <n v="0.6"/>
    <x v="0"/>
    <n v="4"/>
    <n v="37"/>
    <n v="0.9"/>
    <n v="17"/>
    <n v="0.83"/>
    <x v="0"/>
  </r>
  <r>
    <s v="S145"/>
    <n v="145"/>
    <x v="4"/>
    <x v="0"/>
    <x v="3"/>
    <n v="2.68"/>
    <x v="1"/>
    <n v="62.1"/>
    <n v="0.63"/>
    <x v="2"/>
    <n v="22"/>
    <n v="87"/>
    <n v="0.68"/>
    <n v="11"/>
    <n v="0.93"/>
    <x v="0"/>
  </r>
  <r>
    <s v="S146"/>
    <n v="146"/>
    <x v="0"/>
    <x v="1"/>
    <x v="1"/>
    <n v="3.48"/>
    <x v="2"/>
    <n v="89"/>
    <n v="0.95"/>
    <x v="2"/>
    <n v="9"/>
    <n v="47"/>
    <n v="0.61"/>
    <n v="7"/>
    <n v="0.54"/>
    <x v="2"/>
  </r>
  <r>
    <s v="S147"/>
    <n v="147"/>
    <x v="3"/>
    <x v="1"/>
    <x v="0"/>
    <n v="2.4500000000000002"/>
    <x v="1"/>
    <n v="64.900000000000006"/>
    <n v="0.63"/>
    <x v="1"/>
    <n v="27"/>
    <n v="25"/>
    <n v="0.96"/>
    <n v="1"/>
    <n v="0.73"/>
    <x v="0"/>
  </r>
  <r>
    <s v="S148"/>
    <n v="148"/>
    <x v="3"/>
    <x v="0"/>
    <x v="0"/>
    <n v="3.28"/>
    <x v="0"/>
    <n v="72.099999999999994"/>
    <n v="0.88"/>
    <x v="0"/>
    <n v="32"/>
    <n v="30"/>
    <n v="0.65"/>
    <n v="1"/>
    <n v="0.99"/>
    <x v="2"/>
  </r>
  <r>
    <s v="S149"/>
    <n v="149"/>
    <x v="7"/>
    <x v="0"/>
    <x v="3"/>
    <n v="3.14"/>
    <x v="2"/>
    <n v="81.3"/>
    <n v="0.97"/>
    <x v="1"/>
    <n v="25"/>
    <n v="15"/>
    <n v="0.7"/>
    <n v="4"/>
    <n v="0.88"/>
    <x v="2"/>
  </r>
  <r>
    <s v="S150"/>
    <n v="150"/>
    <x v="4"/>
    <x v="0"/>
    <x v="3"/>
    <n v="3.14"/>
    <x v="0"/>
    <n v="82.6"/>
    <n v="0.71"/>
    <x v="0"/>
    <n v="28"/>
    <n v="50"/>
    <n v="0.85"/>
    <n v="0"/>
    <n v="0.98"/>
    <x v="0"/>
  </r>
  <r>
    <s v="S151"/>
    <n v="151"/>
    <x v="3"/>
    <x v="2"/>
    <x v="0"/>
    <n v="3.33"/>
    <x v="1"/>
    <n v="84"/>
    <n v="0.75"/>
    <x v="1"/>
    <n v="26"/>
    <n v="24"/>
    <n v="0.65"/>
    <n v="3"/>
    <n v="0.89"/>
    <x v="1"/>
  </r>
  <r>
    <s v="S152"/>
    <n v="152"/>
    <x v="3"/>
    <x v="2"/>
    <x v="0"/>
    <n v="3.1"/>
    <x v="0"/>
    <n v="66.7"/>
    <n v="0.83"/>
    <x v="2"/>
    <n v="17"/>
    <n v="12"/>
    <n v="0.91"/>
    <n v="5"/>
    <n v="0.94"/>
    <x v="1"/>
  </r>
  <r>
    <s v="S153"/>
    <n v="153"/>
    <x v="7"/>
    <x v="0"/>
    <x v="2"/>
    <n v="3.76"/>
    <x v="2"/>
    <n v="75.2"/>
    <n v="0.95"/>
    <x v="1"/>
    <n v="39"/>
    <n v="52"/>
    <n v="0.54"/>
    <n v="12"/>
    <n v="0.85"/>
    <x v="2"/>
  </r>
  <r>
    <s v="S154"/>
    <n v="154"/>
    <x v="3"/>
    <x v="2"/>
    <x v="1"/>
    <n v="3.35"/>
    <x v="0"/>
    <n v="84.7"/>
    <n v="0.98"/>
    <x v="1"/>
    <n v="9"/>
    <n v="56"/>
    <n v="0.9"/>
    <n v="18"/>
    <n v="0.88"/>
    <x v="2"/>
  </r>
  <r>
    <s v="S155"/>
    <n v="155"/>
    <x v="2"/>
    <x v="2"/>
    <x v="2"/>
    <n v="3.09"/>
    <x v="1"/>
    <n v="98.8"/>
    <n v="0.9"/>
    <x v="2"/>
    <n v="4"/>
    <n v="23"/>
    <n v="0.8"/>
    <n v="10"/>
    <n v="0.76"/>
    <x v="2"/>
  </r>
  <r>
    <s v="S156"/>
    <n v="156"/>
    <x v="5"/>
    <x v="1"/>
    <x v="3"/>
    <n v="3.66"/>
    <x v="1"/>
    <n v="89.1"/>
    <n v="0.63"/>
    <x v="0"/>
    <n v="9"/>
    <n v="75"/>
    <n v="0.79"/>
    <n v="12"/>
    <n v="0.96"/>
    <x v="0"/>
  </r>
  <r>
    <s v="S157"/>
    <n v="157"/>
    <x v="0"/>
    <x v="0"/>
    <x v="2"/>
    <n v="3.21"/>
    <x v="1"/>
    <n v="96.9"/>
    <n v="0.87"/>
    <x v="0"/>
    <n v="20"/>
    <n v="38"/>
    <n v="0.73"/>
    <n v="7"/>
    <n v="0.91"/>
    <x v="2"/>
  </r>
  <r>
    <s v="S158"/>
    <n v="158"/>
    <x v="5"/>
    <x v="0"/>
    <x v="2"/>
    <n v="2.58"/>
    <x v="2"/>
    <n v="90.5"/>
    <n v="0.76"/>
    <x v="2"/>
    <n v="23"/>
    <n v="13"/>
    <n v="0.64"/>
    <n v="6"/>
    <n v="0.92"/>
    <x v="1"/>
  </r>
  <r>
    <s v="S159"/>
    <n v="159"/>
    <x v="7"/>
    <x v="2"/>
    <x v="2"/>
    <n v="2.41"/>
    <x v="1"/>
    <n v="83.7"/>
    <n v="0.79"/>
    <x v="1"/>
    <n v="37"/>
    <n v="35"/>
    <n v="0.73"/>
    <n v="12"/>
    <n v="0.84"/>
    <x v="0"/>
  </r>
  <r>
    <s v="S160"/>
    <n v="160"/>
    <x v="1"/>
    <x v="0"/>
    <x v="2"/>
    <n v="2.2999999999999998"/>
    <x v="2"/>
    <n v="67.7"/>
    <n v="0.62"/>
    <x v="1"/>
    <n v="2"/>
    <n v="21"/>
    <n v="0.73"/>
    <n v="0"/>
    <n v="0.65"/>
    <x v="0"/>
  </r>
  <r>
    <s v="S161"/>
    <n v="161"/>
    <x v="0"/>
    <x v="1"/>
    <x v="1"/>
    <n v="3.8"/>
    <x v="0"/>
    <n v="86.7"/>
    <n v="0.68"/>
    <x v="1"/>
    <n v="39"/>
    <n v="11"/>
    <n v="0.79"/>
    <n v="5"/>
    <n v="0.52"/>
    <x v="0"/>
  </r>
  <r>
    <s v="S162"/>
    <n v="162"/>
    <x v="7"/>
    <x v="1"/>
    <x v="1"/>
    <n v="3.42"/>
    <x v="1"/>
    <n v="84.9"/>
    <n v="0.92"/>
    <x v="0"/>
    <n v="30"/>
    <n v="26"/>
    <n v="0.64"/>
    <n v="6"/>
    <n v="0.97"/>
    <x v="2"/>
  </r>
  <r>
    <s v="S163"/>
    <n v="163"/>
    <x v="4"/>
    <x v="1"/>
    <x v="0"/>
    <n v="3.87"/>
    <x v="0"/>
    <n v="84.1"/>
    <n v="0.78"/>
    <x v="1"/>
    <n v="36"/>
    <n v="44"/>
    <n v="0.54"/>
    <n v="15"/>
    <n v="0.79"/>
    <x v="1"/>
  </r>
  <r>
    <s v="S164"/>
    <n v="164"/>
    <x v="1"/>
    <x v="0"/>
    <x v="3"/>
    <n v="3.21"/>
    <x v="3"/>
    <n v="79.599999999999994"/>
    <n v="0.72"/>
    <x v="0"/>
    <n v="1"/>
    <n v="19"/>
    <n v="0.56999999999999995"/>
    <n v="14"/>
    <n v="0.65"/>
    <x v="0"/>
  </r>
  <r>
    <s v="S165"/>
    <n v="165"/>
    <x v="5"/>
    <x v="0"/>
    <x v="2"/>
    <n v="2.95"/>
    <x v="0"/>
    <n v="81.099999999999994"/>
    <n v="0.75"/>
    <x v="1"/>
    <n v="1"/>
    <n v="52"/>
    <n v="0.85"/>
    <n v="19"/>
    <n v="0.56999999999999995"/>
    <x v="1"/>
  </r>
  <r>
    <s v="S166"/>
    <n v="166"/>
    <x v="7"/>
    <x v="0"/>
    <x v="0"/>
    <n v="2.12"/>
    <x v="3"/>
    <n v="73.400000000000006"/>
    <n v="0.94"/>
    <x v="2"/>
    <n v="38"/>
    <n v="30"/>
    <n v="0.51"/>
    <n v="1"/>
    <n v="0.91"/>
    <x v="0"/>
  </r>
  <r>
    <s v="S167"/>
    <n v="167"/>
    <x v="4"/>
    <x v="0"/>
    <x v="0"/>
    <n v="3.34"/>
    <x v="0"/>
    <n v="80.8"/>
    <n v="0.9"/>
    <x v="2"/>
    <n v="33"/>
    <n v="24"/>
    <n v="0.93"/>
    <n v="15"/>
    <n v="0.92"/>
    <x v="2"/>
  </r>
  <r>
    <s v="S168"/>
    <n v="168"/>
    <x v="0"/>
    <x v="0"/>
    <x v="0"/>
    <n v="3.16"/>
    <x v="2"/>
    <n v="67.900000000000006"/>
    <n v="0.71"/>
    <x v="0"/>
    <n v="19"/>
    <n v="44"/>
    <n v="0.85"/>
    <n v="16"/>
    <n v="0.91"/>
    <x v="0"/>
  </r>
  <r>
    <s v="S169"/>
    <n v="169"/>
    <x v="0"/>
    <x v="1"/>
    <x v="1"/>
    <n v="3.98"/>
    <x v="0"/>
    <n v="92.2"/>
    <n v="0.65"/>
    <x v="0"/>
    <n v="32"/>
    <n v="69"/>
    <n v="0.88"/>
    <n v="14"/>
    <n v="0.82"/>
    <x v="0"/>
  </r>
  <r>
    <s v="S170"/>
    <n v="170"/>
    <x v="6"/>
    <x v="2"/>
    <x v="2"/>
    <n v="2.48"/>
    <x v="2"/>
    <n v="67.400000000000006"/>
    <n v="0.7"/>
    <x v="2"/>
    <n v="3"/>
    <n v="53"/>
    <n v="0.92"/>
    <n v="2"/>
    <n v="0.68"/>
    <x v="0"/>
  </r>
  <r>
    <s v="S171"/>
    <n v="171"/>
    <x v="4"/>
    <x v="1"/>
    <x v="2"/>
    <n v="3.06"/>
    <x v="2"/>
    <n v="63.4"/>
    <n v="0.97"/>
    <x v="2"/>
    <n v="10"/>
    <n v="14"/>
    <n v="0.56000000000000005"/>
    <n v="3"/>
    <n v="0.65"/>
    <x v="2"/>
  </r>
  <r>
    <s v="S172"/>
    <n v="172"/>
    <x v="2"/>
    <x v="0"/>
    <x v="3"/>
    <n v="3.3"/>
    <x v="1"/>
    <n v="77.400000000000006"/>
    <n v="0.83"/>
    <x v="1"/>
    <n v="4"/>
    <n v="82"/>
    <n v="0.91"/>
    <n v="11"/>
    <n v="0.5"/>
    <x v="1"/>
  </r>
  <r>
    <s v="S173"/>
    <n v="173"/>
    <x v="3"/>
    <x v="1"/>
    <x v="2"/>
    <n v="3.29"/>
    <x v="2"/>
    <n v="86.3"/>
    <n v="0.81"/>
    <x v="2"/>
    <n v="24"/>
    <n v="27"/>
    <n v="0.75"/>
    <n v="4"/>
    <n v="0.92"/>
    <x v="1"/>
  </r>
  <r>
    <s v="S174"/>
    <n v="174"/>
    <x v="1"/>
    <x v="0"/>
    <x v="2"/>
    <n v="3.12"/>
    <x v="3"/>
    <n v="77.5"/>
    <n v="0.84"/>
    <x v="0"/>
    <n v="36"/>
    <n v="30"/>
    <n v="0.94"/>
    <n v="16"/>
    <n v="0.54"/>
    <x v="1"/>
  </r>
  <r>
    <s v="S175"/>
    <n v="175"/>
    <x v="4"/>
    <x v="0"/>
    <x v="0"/>
    <n v="3.55"/>
    <x v="1"/>
    <n v="71.099999999999994"/>
    <n v="0.75"/>
    <x v="2"/>
    <n v="33"/>
    <n v="81"/>
    <n v="0.94"/>
    <n v="5"/>
    <n v="0.82"/>
    <x v="1"/>
  </r>
  <r>
    <s v="S176"/>
    <n v="176"/>
    <x v="6"/>
    <x v="1"/>
    <x v="3"/>
    <n v="2.41"/>
    <x v="1"/>
    <n v="82.3"/>
    <n v="0.92"/>
    <x v="0"/>
    <n v="8"/>
    <n v="83"/>
    <n v="0.51"/>
    <n v="9"/>
    <n v="0.75"/>
    <x v="0"/>
  </r>
  <r>
    <s v="S177"/>
    <n v="177"/>
    <x v="3"/>
    <x v="0"/>
    <x v="2"/>
    <n v="3.45"/>
    <x v="0"/>
    <n v="73.900000000000006"/>
    <n v="0.81"/>
    <x v="0"/>
    <n v="5"/>
    <n v="60"/>
    <n v="0.69"/>
    <n v="17"/>
    <n v="0.76"/>
    <x v="1"/>
  </r>
  <r>
    <s v="S178"/>
    <n v="178"/>
    <x v="3"/>
    <x v="2"/>
    <x v="1"/>
    <n v="3.24"/>
    <x v="2"/>
    <n v="97.3"/>
    <n v="0.65"/>
    <x v="1"/>
    <n v="17"/>
    <n v="50"/>
    <n v="0.76"/>
    <n v="9"/>
    <n v="0.96"/>
    <x v="0"/>
  </r>
  <r>
    <s v="S179"/>
    <n v="179"/>
    <x v="7"/>
    <x v="0"/>
    <x v="2"/>
    <n v="3.79"/>
    <x v="2"/>
    <n v="96.9"/>
    <n v="0.65"/>
    <x v="1"/>
    <n v="13"/>
    <n v="33"/>
    <n v="0.84"/>
    <n v="5"/>
    <n v="0.52"/>
    <x v="0"/>
  </r>
  <r>
    <s v="S180"/>
    <n v="180"/>
    <x v="3"/>
    <x v="2"/>
    <x v="0"/>
    <n v="3.69"/>
    <x v="3"/>
    <n v="80.099999999999994"/>
    <n v="0.81"/>
    <x v="1"/>
    <n v="18"/>
    <n v="33"/>
    <n v="0.64"/>
    <n v="5"/>
    <n v="0.89"/>
    <x v="1"/>
  </r>
  <r>
    <s v="S181"/>
    <n v="181"/>
    <x v="2"/>
    <x v="2"/>
    <x v="1"/>
    <n v="2.63"/>
    <x v="0"/>
    <n v="73.099999999999994"/>
    <n v="0.97"/>
    <x v="1"/>
    <n v="13"/>
    <n v="47"/>
    <n v="0.63"/>
    <n v="19"/>
    <n v="0.53"/>
    <x v="1"/>
  </r>
  <r>
    <s v="S182"/>
    <n v="182"/>
    <x v="0"/>
    <x v="0"/>
    <x v="0"/>
    <n v="2.5499999999999998"/>
    <x v="0"/>
    <n v="89.5"/>
    <n v="0.72"/>
    <x v="2"/>
    <n v="39"/>
    <n v="53"/>
    <n v="0.69"/>
    <n v="14"/>
    <n v="0.52"/>
    <x v="0"/>
  </r>
  <r>
    <s v="S183"/>
    <n v="183"/>
    <x v="6"/>
    <x v="1"/>
    <x v="2"/>
    <n v="3.96"/>
    <x v="1"/>
    <n v="61.5"/>
    <n v="0.95"/>
    <x v="1"/>
    <n v="16"/>
    <n v="66"/>
    <n v="0.75"/>
    <n v="3"/>
    <n v="0.71"/>
    <x v="2"/>
  </r>
  <r>
    <s v="S184"/>
    <n v="184"/>
    <x v="3"/>
    <x v="2"/>
    <x v="1"/>
    <n v="3.05"/>
    <x v="1"/>
    <n v="79"/>
    <n v="0.91"/>
    <x v="2"/>
    <n v="34"/>
    <n v="68"/>
    <n v="0.98"/>
    <n v="15"/>
    <n v="0.53"/>
    <x v="2"/>
  </r>
  <r>
    <s v="S185"/>
    <n v="185"/>
    <x v="7"/>
    <x v="1"/>
    <x v="3"/>
    <n v="3.81"/>
    <x v="1"/>
    <n v="73.5"/>
    <n v="0.7"/>
    <x v="1"/>
    <n v="28"/>
    <n v="43"/>
    <n v="0.88"/>
    <n v="7"/>
    <n v="0.89"/>
    <x v="0"/>
  </r>
  <r>
    <s v="S186"/>
    <n v="186"/>
    <x v="2"/>
    <x v="2"/>
    <x v="3"/>
    <n v="2.33"/>
    <x v="3"/>
    <n v="96.8"/>
    <n v="0.61"/>
    <x v="1"/>
    <n v="16"/>
    <n v="84"/>
    <n v="0.71"/>
    <n v="6"/>
    <n v="0.76"/>
    <x v="0"/>
  </r>
  <r>
    <s v="S187"/>
    <n v="187"/>
    <x v="5"/>
    <x v="0"/>
    <x v="1"/>
    <n v="3.29"/>
    <x v="3"/>
    <n v="60.5"/>
    <n v="0.64"/>
    <x v="0"/>
    <n v="7"/>
    <n v="32"/>
    <n v="0.53"/>
    <n v="18"/>
    <n v="0.51"/>
    <x v="0"/>
  </r>
  <r>
    <s v="S188"/>
    <n v="188"/>
    <x v="0"/>
    <x v="0"/>
    <x v="1"/>
    <n v="3.62"/>
    <x v="1"/>
    <n v="82.1"/>
    <n v="0.89"/>
    <x v="2"/>
    <n v="0"/>
    <n v="52"/>
    <n v="0.57999999999999996"/>
    <n v="16"/>
    <n v="0.52"/>
    <x v="2"/>
  </r>
  <r>
    <s v="S189"/>
    <n v="189"/>
    <x v="0"/>
    <x v="2"/>
    <x v="0"/>
    <n v="3.89"/>
    <x v="0"/>
    <n v="89.6"/>
    <n v="0.68"/>
    <x v="0"/>
    <n v="35"/>
    <n v="49"/>
    <n v="0.73"/>
    <n v="12"/>
    <n v="0.81"/>
    <x v="0"/>
  </r>
  <r>
    <s v="S190"/>
    <n v="190"/>
    <x v="6"/>
    <x v="0"/>
    <x v="1"/>
    <n v="2.67"/>
    <x v="3"/>
    <n v="79.400000000000006"/>
    <n v="0.75"/>
    <x v="1"/>
    <n v="6"/>
    <n v="56"/>
    <n v="0.91"/>
    <n v="14"/>
    <n v="0.9"/>
    <x v="1"/>
  </r>
  <r>
    <s v="S191"/>
    <n v="191"/>
    <x v="0"/>
    <x v="2"/>
    <x v="0"/>
    <n v="3.45"/>
    <x v="0"/>
    <n v="63.4"/>
    <n v="0.8"/>
    <x v="2"/>
    <n v="4"/>
    <n v="50"/>
    <n v="0.69"/>
    <n v="1"/>
    <n v="0.72"/>
    <x v="1"/>
  </r>
  <r>
    <s v="S192"/>
    <n v="192"/>
    <x v="3"/>
    <x v="0"/>
    <x v="2"/>
    <n v="3.08"/>
    <x v="0"/>
    <n v="98.9"/>
    <n v="0.89"/>
    <x v="1"/>
    <n v="23"/>
    <n v="56"/>
    <n v="0.77"/>
    <n v="9"/>
    <n v="0.78"/>
    <x v="2"/>
  </r>
  <r>
    <s v="S193"/>
    <n v="193"/>
    <x v="7"/>
    <x v="1"/>
    <x v="0"/>
    <n v="2.12"/>
    <x v="2"/>
    <n v="80.7"/>
    <n v="0.65"/>
    <x v="0"/>
    <n v="27"/>
    <n v="29"/>
    <n v="0.95"/>
    <n v="12"/>
    <n v="0.9"/>
    <x v="0"/>
  </r>
  <r>
    <s v="S194"/>
    <n v="194"/>
    <x v="0"/>
    <x v="0"/>
    <x v="1"/>
    <n v="3.38"/>
    <x v="1"/>
    <n v="84.6"/>
    <n v="0.76"/>
    <x v="2"/>
    <n v="16"/>
    <n v="86"/>
    <n v="0.96"/>
    <n v="17"/>
    <n v="0.81"/>
    <x v="1"/>
  </r>
  <r>
    <s v="S195"/>
    <n v="195"/>
    <x v="0"/>
    <x v="1"/>
    <x v="1"/>
    <n v="3.38"/>
    <x v="2"/>
    <n v="69.5"/>
    <n v="0.79"/>
    <x v="0"/>
    <n v="36"/>
    <n v="74"/>
    <n v="0.61"/>
    <n v="10"/>
    <n v="0.61"/>
    <x v="1"/>
  </r>
  <r>
    <s v="S196"/>
    <n v="196"/>
    <x v="5"/>
    <x v="0"/>
    <x v="2"/>
    <n v="3.86"/>
    <x v="1"/>
    <n v="79.3"/>
    <n v="0.82"/>
    <x v="1"/>
    <n v="19"/>
    <n v="77"/>
    <n v="0.52"/>
    <n v="12"/>
    <n v="0.81"/>
    <x v="1"/>
  </r>
  <r>
    <s v="S197"/>
    <n v="197"/>
    <x v="5"/>
    <x v="1"/>
    <x v="1"/>
    <n v="2.99"/>
    <x v="1"/>
    <n v="77.2"/>
    <n v="0.93"/>
    <x v="1"/>
    <n v="2"/>
    <n v="33"/>
    <n v="0.65"/>
    <n v="18"/>
    <n v="0.81"/>
    <x v="1"/>
  </r>
  <r>
    <s v="S198"/>
    <n v="198"/>
    <x v="1"/>
    <x v="0"/>
    <x v="1"/>
    <n v="2.46"/>
    <x v="0"/>
    <n v="63"/>
    <n v="0.67"/>
    <x v="1"/>
    <n v="36"/>
    <n v="45"/>
    <n v="0.85"/>
    <n v="4"/>
    <n v="0.87"/>
    <x v="0"/>
  </r>
  <r>
    <s v="S199"/>
    <n v="199"/>
    <x v="2"/>
    <x v="1"/>
    <x v="3"/>
    <n v="2.09"/>
    <x v="1"/>
    <n v="64.2"/>
    <n v="0.92"/>
    <x v="2"/>
    <n v="25"/>
    <n v="54"/>
    <n v="0.98"/>
    <n v="2"/>
    <n v="0.81"/>
    <x v="0"/>
  </r>
  <r>
    <s v="S200"/>
    <n v="200"/>
    <x v="3"/>
    <x v="2"/>
    <x v="3"/>
    <n v="2.83"/>
    <x v="0"/>
    <n v="93.5"/>
    <n v="0.88"/>
    <x v="0"/>
    <n v="14"/>
    <n v="11"/>
    <n v="0.54"/>
    <n v="18"/>
    <n v="0.98"/>
    <x v="1"/>
  </r>
  <r>
    <s v="S201"/>
    <n v="201"/>
    <x v="0"/>
    <x v="2"/>
    <x v="2"/>
    <n v="2.6"/>
    <x v="0"/>
    <n v="69.599999999999994"/>
    <n v="0.82"/>
    <x v="0"/>
    <n v="7"/>
    <n v="37"/>
    <n v="0.51"/>
    <n v="12"/>
    <n v="0.6"/>
    <x v="1"/>
  </r>
  <r>
    <s v="S202"/>
    <n v="202"/>
    <x v="4"/>
    <x v="1"/>
    <x v="0"/>
    <n v="3.52"/>
    <x v="1"/>
    <n v="67.8"/>
    <n v="0.88"/>
    <x v="1"/>
    <n v="12"/>
    <n v="35"/>
    <n v="0.94"/>
    <n v="4"/>
    <n v="0.98"/>
    <x v="2"/>
  </r>
  <r>
    <s v="S203"/>
    <n v="203"/>
    <x v="0"/>
    <x v="0"/>
    <x v="3"/>
    <n v="2.71"/>
    <x v="0"/>
    <n v="80.2"/>
    <n v="0.76"/>
    <x v="0"/>
    <n v="2"/>
    <n v="32"/>
    <n v="0.87"/>
    <n v="11"/>
    <n v="0.77"/>
    <x v="1"/>
  </r>
  <r>
    <s v="S204"/>
    <n v="204"/>
    <x v="7"/>
    <x v="1"/>
    <x v="0"/>
    <n v="3.9"/>
    <x v="0"/>
    <n v="90.7"/>
    <n v="0.66"/>
    <x v="2"/>
    <n v="0"/>
    <n v="88"/>
    <n v="1"/>
    <n v="13"/>
    <n v="0.84"/>
    <x v="0"/>
  </r>
  <r>
    <s v="S205"/>
    <n v="205"/>
    <x v="1"/>
    <x v="0"/>
    <x v="1"/>
    <n v="3.92"/>
    <x v="0"/>
    <n v="62.5"/>
    <n v="0.87"/>
    <x v="1"/>
    <n v="8"/>
    <n v="45"/>
    <n v="0.7"/>
    <n v="5"/>
    <n v="0.55000000000000004"/>
    <x v="2"/>
  </r>
  <r>
    <s v="S206"/>
    <n v="206"/>
    <x v="2"/>
    <x v="2"/>
    <x v="3"/>
    <n v="3.24"/>
    <x v="3"/>
    <n v="83.1"/>
    <n v="0.81"/>
    <x v="1"/>
    <n v="30"/>
    <n v="15"/>
    <n v="0.71"/>
    <n v="8"/>
    <n v="0.69"/>
    <x v="1"/>
  </r>
  <r>
    <s v="S207"/>
    <n v="207"/>
    <x v="4"/>
    <x v="0"/>
    <x v="2"/>
    <n v="3.86"/>
    <x v="0"/>
    <n v="64.8"/>
    <n v="0.86"/>
    <x v="1"/>
    <n v="25"/>
    <n v="44"/>
    <n v="0.59"/>
    <n v="16"/>
    <n v="0.88"/>
    <x v="2"/>
  </r>
  <r>
    <s v="S208"/>
    <n v="208"/>
    <x v="1"/>
    <x v="2"/>
    <x v="2"/>
    <n v="3.52"/>
    <x v="3"/>
    <n v="61.5"/>
    <n v="0.74"/>
    <x v="2"/>
    <n v="16"/>
    <n v="47"/>
    <n v="0.56000000000000005"/>
    <n v="7"/>
    <n v="0.85"/>
    <x v="0"/>
  </r>
  <r>
    <s v="S209"/>
    <n v="209"/>
    <x v="6"/>
    <x v="0"/>
    <x v="2"/>
    <n v="3.09"/>
    <x v="3"/>
    <n v="62.1"/>
    <n v="0.96"/>
    <x v="1"/>
    <n v="33"/>
    <n v="44"/>
    <n v="0.79"/>
    <n v="12"/>
    <n v="0.52"/>
    <x v="2"/>
  </r>
  <r>
    <s v="S210"/>
    <n v="210"/>
    <x v="2"/>
    <x v="0"/>
    <x v="3"/>
    <n v="2.36"/>
    <x v="0"/>
    <n v="93.4"/>
    <n v="0.83"/>
    <x v="1"/>
    <n v="8"/>
    <n v="83"/>
    <n v="0.68"/>
    <n v="4"/>
    <n v="0.77"/>
    <x v="0"/>
  </r>
  <r>
    <s v="S211"/>
    <n v="211"/>
    <x v="0"/>
    <x v="0"/>
    <x v="0"/>
    <n v="2.92"/>
    <x v="0"/>
    <n v="64.7"/>
    <n v="0.63"/>
    <x v="1"/>
    <n v="12"/>
    <n v="62"/>
    <n v="0.54"/>
    <n v="16"/>
    <n v="0.54"/>
    <x v="0"/>
  </r>
  <r>
    <s v="S212"/>
    <n v="212"/>
    <x v="0"/>
    <x v="1"/>
    <x v="1"/>
    <n v="3.12"/>
    <x v="3"/>
    <n v="61.8"/>
    <n v="0.78"/>
    <x v="1"/>
    <n v="4"/>
    <n v="47"/>
    <n v="0.94"/>
    <n v="2"/>
    <n v="1"/>
    <x v="1"/>
  </r>
  <r>
    <s v="S213"/>
    <n v="213"/>
    <x v="2"/>
    <x v="1"/>
    <x v="0"/>
    <n v="3.73"/>
    <x v="3"/>
    <n v="77.5"/>
    <n v="0.9"/>
    <x v="0"/>
    <n v="12"/>
    <n v="68"/>
    <n v="0.6"/>
    <n v="5"/>
    <n v="0.95"/>
    <x v="2"/>
  </r>
  <r>
    <s v="S214"/>
    <n v="214"/>
    <x v="0"/>
    <x v="2"/>
    <x v="0"/>
    <n v="2.96"/>
    <x v="0"/>
    <n v="93.8"/>
    <n v="0.92"/>
    <x v="1"/>
    <n v="0"/>
    <n v="52"/>
    <n v="0.87"/>
    <n v="13"/>
    <n v="0.51"/>
    <x v="1"/>
  </r>
  <r>
    <s v="S215"/>
    <n v="215"/>
    <x v="3"/>
    <x v="2"/>
    <x v="1"/>
    <n v="3.8"/>
    <x v="0"/>
    <n v="70.5"/>
    <n v="0.8"/>
    <x v="2"/>
    <n v="24"/>
    <n v="13"/>
    <n v="0.64"/>
    <n v="14"/>
    <n v="0.93"/>
    <x v="1"/>
  </r>
  <r>
    <s v="S216"/>
    <n v="216"/>
    <x v="2"/>
    <x v="1"/>
    <x v="1"/>
    <n v="3.35"/>
    <x v="1"/>
    <n v="76.900000000000006"/>
    <n v="0.96"/>
    <x v="1"/>
    <n v="3"/>
    <n v="14"/>
    <n v="0.91"/>
    <n v="13"/>
    <n v="0.96"/>
    <x v="2"/>
  </r>
  <r>
    <s v="S217"/>
    <n v="217"/>
    <x v="1"/>
    <x v="2"/>
    <x v="3"/>
    <n v="2.27"/>
    <x v="3"/>
    <n v="61.6"/>
    <n v="0.71"/>
    <x v="1"/>
    <n v="35"/>
    <n v="77"/>
    <n v="0.56000000000000005"/>
    <n v="10"/>
    <n v="0.68"/>
    <x v="0"/>
  </r>
  <r>
    <s v="S218"/>
    <n v="218"/>
    <x v="2"/>
    <x v="1"/>
    <x v="3"/>
    <n v="3.99"/>
    <x v="3"/>
    <n v="78"/>
    <n v="0.76"/>
    <x v="0"/>
    <n v="9"/>
    <n v="54"/>
    <n v="0.88"/>
    <n v="10"/>
    <n v="0.86"/>
    <x v="1"/>
  </r>
  <r>
    <s v="S219"/>
    <n v="219"/>
    <x v="4"/>
    <x v="0"/>
    <x v="3"/>
    <n v="3.05"/>
    <x v="1"/>
    <n v="83.1"/>
    <n v="0.96"/>
    <x v="1"/>
    <n v="27"/>
    <n v="89"/>
    <n v="0.55000000000000004"/>
    <n v="8"/>
    <n v="0.72"/>
    <x v="2"/>
  </r>
  <r>
    <s v="S220"/>
    <n v="220"/>
    <x v="0"/>
    <x v="2"/>
    <x v="3"/>
    <n v="2.78"/>
    <x v="3"/>
    <n v="82.8"/>
    <n v="0.96"/>
    <x v="0"/>
    <n v="5"/>
    <n v="34"/>
    <n v="0.72"/>
    <n v="5"/>
    <n v="0.83"/>
    <x v="1"/>
  </r>
  <r>
    <s v="S221"/>
    <n v="221"/>
    <x v="3"/>
    <x v="2"/>
    <x v="3"/>
    <n v="3.32"/>
    <x v="2"/>
    <n v="73.3"/>
    <n v="0.87"/>
    <x v="2"/>
    <n v="26"/>
    <n v="87"/>
    <n v="0.87"/>
    <n v="14"/>
    <n v="0.67"/>
    <x v="2"/>
  </r>
  <r>
    <s v="S222"/>
    <n v="222"/>
    <x v="3"/>
    <x v="1"/>
    <x v="1"/>
    <n v="2.2200000000000002"/>
    <x v="3"/>
    <n v="72.599999999999994"/>
    <n v="0.94"/>
    <x v="0"/>
    <n v="11"/>
    <n v="20"/>
    <n v="0.59"/>
    <n v="11"/>
    <n v="0.66"/>
    <x v="0"/>
  </r>
  <r>
    <s v="S223"/>
    <n v="223"/>
    <x v="6"/>
    <x v="2"/>
    <x v="0"/>
    <n v="3.27"/>
    <x v="1"/>
    <n v="64.3"/>
    <n v="0.64"/>
    <x v="1"/>
    <n v="2"/>
    <n v="38"/>
    <n v="0.64"/>
    <n v="5"/>
    <n v="0.71"/>
    <x v="0"/>
  </r>
  <r>
    <s v="S224"/>
    <n v="224"/>
    <x v="1"/>
    <x v="2"/>
    <x v="3"/>
    <n v="3"/>
    <x v="2"/>
    <n v="74.7"/>
    <n v="0.95"/>
    <x v="2"/>
    <n v="32"/>
    <n v="43"/>
    <n v="0.93"/>
    <n v="0"/>
    <n v="0.56999999999999995"/>
    <x v="2"/>
  </r>
  <r>
    <s v="S225"/>
    <n v="225"/>
    <x v="5"/>
    <x v="0"/>
    <x v="3"/>
    <n v="2.81"/>
    <x v="0"/>
    <n v="64"/>
    <n v="0.73"/>
    <x v="1"/>
    <n v="9"/>
    <n v="23"/>
    <n v="0.94"/>
    <n v="15"/>
    <n v="0.92"/>
    <x v="0"/>
  </r>
  <r>
    <s v="S226"/>
    <n v="226"/>
    <x v="5"/>
    <x v="2"/>
    <x v="0"/>
    <n v="3.91"/>
    <x v="1"/>
    <n v="90.7"/>
    <n v="0.67"/>
    <x v="0"/>
    <n v="30"/>
    <n v="33"/>
    <n v="0.52"/>
    <n v="19"/>
    <n v="0.67"/>
    <x v="0"/>
  </r>
  <r>
    <s v="S227"/>
    <n v="227"/>
    <x v="2"/>
    <x v="0"/>
    <x v="3"/>
    <n v="3.05"/>
    <x v="1"/>
    <n v="98.7"/>
    <n v="0.7"/>
    <x v="2"/>
    <n v="14"/>
    <n v="68"/>
    <n v="0.57999999999999996"/>
    <n v="14"/>
    <n v="0.7"/>
    <x v="0"/>
  </r>
  <r>
    <s v="S228"/>
    <n v="228"/>
    <x v="6"/>
    <x v="1"/>
    <x v="0"/>
    <n v="2.44"/>
    <x v="0"/>
    <n v="98.8"/>
    <n v="0.77"/>
    <x v="2"/>
    <n v="6"/>
    <n v="48"/>
    <n v="0.56000000000000005"/>
    <n v="1"/>
    <n v="0.95"/>
    <x v="0"/>
  </r>
  <r>
    <s v="S229"/>
    <n v="229"/>
    <x v="7"/>
    <x v="2"/>
    <x v="0"/>
    <n v="2.92"/>
    <x v="1"/>
    <n v="94.6"/>
    <n v="0.7"/>
    <x v="0"/>
    <n v="35"/>
    <n v="35"/>
    <n v="0.59"/>
    <n v="16"/>
    <n v="0.75"/>
    <x v="0"/>
  </r>
  <r>
    <s v="S230"/>
    <n v="230"/>
    <x v="2"/>
    <x v="0"/>
    <x v="1"/>
    <n v="3.84"/>
    <x v="3"/>
    <n v="84"/>
    <n v="0.73"/>
    <x v="0"/>
    <n v="13"/>
    <n v="52"/>
    <n v="0.99"/>
    <n v="2"/>
    <n v="0.77"/>
    <x v="0"/>
  </r>
  <r>
    <s v="S231"/>
    <n v="231"/>
    <x v="6"/>
    <x v="1"/>
    <x v="2"/>
    <n v="2.35"/>
    <x v="0"/>
    <n v="88"/>
    <n v="0.65"/>
    <x v="2"/>
    <n v="13"/>
    <n v="45"/>
    <n v="0.78"/>
    <n v="2"/>
    <n v="0.98"/>
    <x v="0"/>
  </r>
  <r>
    <s v="S232"/>
    <n v="232"/>
    <x v="1"/>
    <x v="2"/>
    <x v="1"/>
    <n v="2.4300000000000002"/>
    <x v="1"/>
    <n v="71.400000000000006"/>
    <n v="0.72"/>
    <x v="2"/>
    <n v="2"/>
    <n v="48"/>
    <n v="0.73"/>
    <n v="4"/>
    <n v="0.94"/>
    <x v="0"/>
  </r>
  <r>
    <s v="S233"/>
    <n v="233"/>
    <x v="1"/>
    <x v="1"/>
    <x v="2"/>
    <n v="2.0299999999999998"/>
    <x v="0"/>
    <n v="85.2"/>
    <n v="0.83"/>
    <x v="0"/>
    <n v="2"/>
    <n v="70"/>
    <n v="0.99"/>
    <n v="16"/>
    <n v="0.57999999999999996"/>
    <x v="0"/>
  </r>
  <r>
    <s v="S234"/>
    <n v="234"/>
    <x v="1"/>
    <x v="2"/>
    <x v="2"/>
    <n v="2.0299999999999998"/>
    <x v="0"/>
    <n v="78.2"/>
    <n v="0.78"/>
    <x v="1"/>
    <n v="21"/>
    <n v="25"/>
    <n v="0.78"/>
    <n v="16"/>
    <n v="0.74"/>
    <x v="0"/>
  </r>
  <r>
    <s v="S235"/>
    <n v="235"/>
    <x v="1"/>
    <x v="1"/>
    <x v="2"/>
    <n v="3.66"/>
    <x v="0"/>
    <n v="79.3"/>
    <n v="0.74"/>
    <x v="2"/>
    <n v="18"/>
    <n v="68"/>
    <n v="0.83"/>
    <n v="19"/>
    <n v="0.99"/>
    <x v="0"/>
  </r>
  <r>
    <s v="S236"/>
    <n v="236"/>
    <x v="1"/>
    <x v="1"/>
    <x v="3"/>
    <n v="3.46"/>
    <x v="2"/>
    <n v="90.3"/>
    <n v="0.9"/>
    <x v="0"/>
    <n v="34"/>
    <n v="15"/>
    <n v="0.67"/>
    <n v="5"/>
    <n v="0.69"/>
    <x v="2"/>
  </r>
  <r>
    <s v="S237"/>
    <n v="237"/>
    <x v="6"/>
    <x v="0"/>
    <x v="1"/>
    <n v="2.71"/>
    <x v="1"/>
    <n v="71.3"/>
    <n v="0.96"/>
    <x v="1"/>
    <n v="11"/>
    <n v="65"/>
    <n v="0.69"/>
    <n v="0"/>
    <n v="0.69"/>
    <x v="1"/>
  </r>
  <r>
    <s v="S238"/>
    <n v="238"/>
    <x v="6"/>
    <x v="1"/>
    <x v="2"/>
    <n v="3.4"/>
    <x v="2"/>
    <n v="72.7"/>
    <n v="0.9"/>
    <x v="2"/>
    <n v="4"/>
    <n v="17"/>
    <n v="0.8"/>
    <n v="6"/>
    <n v="0.6"/>
    <x v="2"/>
  </r>
  <r>
    <s v="S239"/>
    <n v="239"/>
    <x v="3"/>
    <x v="2"/>
    <x v="0"/>
    <n v="2.79"/>
    <x v="1"/>
    <n v="97"/>
    <n v="0.73"/>
    <x v="2"/>
    <n v="9"/>
    <n v="36"/>
    <n v="0.53"/>
    <n v="14"/>
    <n v="0.56000000000000005"/>
    <x v="0"/>
  </r>
  <r>
    <s v="S240"/>
    <n v="240"/>
    <x v="4"/>
    <x v="2"/>
    <x v="3"/>
    <n v="3.91"/>
    <x v="3"/>
    <n v="62.2"/>
    <n v="0.9"/>
    <x v="0"/>
    <n v="32"/>
    <n v="80"/>
    <n v="0.63"/>
    <n v="6"/>
    <n v="0.87"/>
    <x v="2"/>
  </r>
  <r>
    <s v="S241"/>
    <n v="241"/>
    <x v="5"/>
    <x v="0"/>
    <x v="1"/>
    <n v="3.93"/>
    <x v="3"/>
    <n v="79.400000000000006"/>
    <n v="0.66"/>
    <x v="1"/>
    <n v="12"/>
    <n v="36"/>
    <n v="0.6"/>
    <n v="18"/>
    <n v="0.89"/>
    <x v="0"/>
  </r>
  <r>
    <s v="S242"/>
    <n v="242"/>
    <x v="0"/>
    <x v="2"/>
    <x v="2"/>
    <n v="2.79"/>
    <x v="3"/>
    <n v="96.5"/>
    <n v="0.65"/>
    <x v="2"/>
    <n v="34"/>
    <n v="55"/>
    <n v="0.51"/>
    <n v="19"/>
    <n v="0.98"/>
    <x v="0"/>
  </r>
  <r>
    <s v="S243"/>
    <n v="243"/>
    <x v="1"/>
    <x v="2"/>
    <x v="0"/>
    <n v="3.71"/>
    <x v="1"/>
    <n v="84.4"/>
    <n v="0.74"/>
    <x v="1"/>
    <n v="31"/>
    <n v="50"/>
    <n v="0.77"/>
    <n v="10"/>
    <n v="0.89"/>
    <x v="0"/>
  </r>
  <r>
    <s v="S244"/>
    <n v="244"/>
    <x v="7"/>
    <x v="2"/>
    <x v="1"/>
    <n v="3.55"/>
    <x v="0"/>
    <n v="81.900000000000006"/>
    <n v="0.92"/>
    <x v="1"/>
    <n v="10"/>
    <n v="88"/>
    <n v="0.78"/>
    <n v="13"/>
    <n v="0.62"/>
    <x v="2"/>
  </r>
  <r>
    <s v="S245"/>
    <n v="245"/>
    <x v="0"/>
    <x v="1"/>
    <x v="1"/>
    <n v="2.62"/>
    <x v="0"/>
    <n v="70"/>
    <n v="0.7"/>
    <x v="2"/>
    <n v="37"/>
    <n v="34"/>
    <n v="0.69"/>
    <n v="12"/>
    <n v="0.52"/>
    <x v="0"/>
  </r>
  <r>
    <s v="S246"/>
    <n v="246"/>
    <x v="6"/>
    <x v="1"/>
    <x v="3"/>
    <n v="2.46"/>
    <x v="2"/>
    <n v="73.7"/>
    <n v="0.63"/>
    <x v="1"/>
    <n v="23"/>
    <n v="27"/>
    <n v="0.63"/>
    <n v="19"/>
    <n v="0.99"/>
    <x v="0"/>
  </r>
  <r>
    <s v="S247"/>
    <n v="247"/>
    <x v="7"/>
    <x v="2"/>
    <x v="1"/>
    <n v="2.92"/>
    <x v="2"/>
    <n v="94.1"/>
    <n v="0.65"/>
    <x v="2"/>
    <n v="34"/>
    <n v="21"/>
    <n v="0.83"/>
    <n v="8"/>
    <n v="0.67"/>
    <x v="0"/>
  </r>
  <r>
    <s v="S248"/>
    <n v="248"/>
    <x v="7"/>
    <x v="0"/>
    <x v="3"/>
    <n v="3.56"/>
    <x v="3"/>
    <n v="82.4"/>
    <n v="0.94"/>
    <x v="1"/>
    <n v="18"/>
    <n v="60"/>
    <n v="0.56999999999999995"/>
    <n v="8"/>
    <n v="0.66"/>
    <x v="2"/>
  </r>
  <r>
    <s v="S249"/>
    <n v="249"/>
    <x v="7"/>
    <x v="1"/>
    <x v="2"/>
    <n v="3.92"/>
    <x v="2"/>
    <n v="80.599999999999994"/>
    <n v="0.85"/>
    <x v="2"/>
    <n v="5"/>
    <n v="48"/>
    <n v="0.76"/>
    <n v="15"/>
    <n v="0.95"/>
    <x v="2"/>
  </r>
  <r>
    <s v="S250"/>
    <n v="250"/>
    <x v="3"/>
    <x v="0"/>
    <x v="3"/>
    <n v="3.53"/>
    <x v="1"/>
    <n v="64"/>
    <n v="0.7"/>
    <x v="0"/>
    <n v="39"/>
    <n v="19"/>
    <n v="0.88"/>
    <n v="11"/>
    <n v="0.79"/>
    <x v="0"/>
  </r>
  <r>
    <s v="S251"/>
    <n v="251"/>
    <x v="6"/>
    <x v="2"/>
    <x v="0"/>
    <n v="3.71"/>
    <x v="1"/>
    <n v="60.6"/>
    <n v="0.82"/>
    <x v="2"/>
    <n v="34"/>
    <n v="83"/>
    <n v="0.57999999999999996"/>
    <n v="9"/>
    <n v="0.61"/>
    <x v="1"/>
  </r>
  <r>
    <s v="S252"/>
    <n v="252"/>
    <x v="7"/>
    <x v="2"/>
    <x v="3"/>
    <n v="3.21"/>
    <x v="2"/>
    <n v="98.5"/>
    <n v="0.81"/>
    <x v="2"/>
    <n v="3"/>
    <n v="86"/>
    <n v="0.88"/>
    <n v="5"/>
    <n v="0.94"/>
    <x v="1"/>
  </r>
  <r>
    <s v="S253"/>
    <n v="253"/>
    <x v="1"/>
    <x v="1"/>
    <x v="0"/>
    <n v="3.67"/>
    <x v="2"/>
    <n v="75.099999999999994"/>
    <n v="0.86"/>
    <x v="2"/>
    <n v="32"/>
    <n v="63"/>
    <n v="0.88"/>
    <n v="17"/>
    <n v="1"/>
    <x v="2"/>
  </r>
  <r>
    <s v="S254"/>
    <n v="254"/>
    <x v="2"/>
    <x v="2"/>
    <x v="3"/>
    <n v="3.57"/>
    <x v="2"/>
    <n v="84.1"/>
    <n v="0.69"/>
    <x v="1"/>
    <n v="12"/>
    <n v="38"/>
    <n v="0.53"/>
    <n v="1"/>
    <n v="0.54"/>
    <x v="0"/>
  </r>
  <r>
    <s v="S255"/>
    <n v="255"/>
    <x v="7"/>
    <x v="1"/>
    <x v="1"/>
    <n v="2.75"/>
    <x v="2"/>
    <n v="63.2"/>
    <n v="0.95"/>
    <x v="0"/>
    <n v="35"/>
    <n v="50"/>
    <n v="0.51"/>
    <n v="19"/>
    <n v="0.93"/>
    <x v="1"/>
  </r>
  <r>
    <s v="S256"/>
    <n v="256"/>
    <x v="3"/>
    <x v="2"/>
    <x v="2"/>
    <n v="3.1"/>
    <x v="3"/>
    <n v="87.3"/>
    <n v="0.72"/>
    <x v="1"/>
    <n v="18"/>
    <n v="18"/>
    <n v="0.99"/>
    <n v="8"/>
    <n v="0.7"/>
    <x v="0"/>
  </r>
  <r>
    <s v="S257"/>
    <n v="257"/>
    <x v="0"/>
    <x v="2"/>
    <x v="0"/>
    <n v="3.61"/>
    <x v="3"/>
    <n v="97.3"/>
    <n v="0.88"/>
    <x v="1"/>
    <n v="11"/>
    <n v="72"/>
    <n v="0.6"/>
    <n v="18"/>
    <n v="0.76"/>
    <x v="2"/>
  </r>
  <r>
    <s v="S258"/>
    <n v="258"/>
    <x v="6"/>
    <x v="1"/>
    <x v="3"/>
    <n v="2.09"/>
    <x v="2"/>
    <n v="83"/>
    <n v="0.61"/>
    <x v="2"/>
    <n v="10"/>
    <n v="86"/>
    <n v="0.91"/>
    <n v="5"/>
    <n v="0.96"/>
    <x v="0"/>
  </r>
  <r>
    <s v="S259"/>
    <n v="259"/>
    <x v="4"/>
    <x v="1"/>
    <x v="3"/>
    <n v="3.62"/>
    <x v="1"/>
    <n v="65"/>
    <n v="0.75"/>
    <x v="1"/>
    <n v="5"/>
    <n v="46"/>
    <n v="0.78"/>
    <n v="1"/>
    <n v="0.99"/>
    <x v="1"/>
  </r>
  <r>
    <s v="S260"/>
    <n v="260"/>
    <x v="3"/>
    <x v="1"/>
    <x v="3"/>
    <n v="2.36"/>
    <x v="3"/>
    <n v="83.3"/>
    <n v="0.74"/>
    <x v="2"/>
    <n v="11"/>
    <n v="23"/>
    <n v="0.63"/>
    <n v="14"/>
    <n v="0.63"/>
    <x v="0"/>
  </r>
  <r>
    <s v="S261"/>
    <n v="261"/>
    <x v="7"/>
    <x v="2"/>
    <x v="1"/>
    <n v="3.03"/>
    <x v="1"/>
    <n v="90.7"/>
    <n v="0.82"/>
    <x v="0"/>
    <n v="26"/>
    <n v="82"/>
    <n v="0.56000000000000005"/>
    <n v="16"/>
    <n v="0.61"/>
    <x v="1"/>
  </r>
  <r>
    <s v="S262"/>
    <n v="262"/>
    <x v="6"/>
    <x v="2"/>
    <x v="1"/>
    <n v="3.62"/>
    <x v="0"/>
    <n v="76.3"/>
    <n v="0.63"/>
    <x v="1"/>
    <n v="24"/>
    <n v="81"/>
    <n v="0.75"/>
    <n v="15"/>
    <n v="0.54"/>
    <x v="0"/>
  </r>
  <r>
    <s v="S263"/>
    <n v="263"/>
    <x v="2"/>
    <x v="0"/>
    <x v="0"/>
    <n v="2.5099999999999998"/>
    <x v="1"/>
    <n v="95.2"/>
    <n v="0.92"/>
    <x v="1"/>
    <n v="2"/>
    <n v="48"/>
    <n v="0.7"/>
    <n v="7"/>
    <n v="0.78"/>
    <x v="1"/>
  </r>
  <r>
    <s v="S264"/>
    <n v="264"/>
    <x v="7"/>
    <x v="1"/>
    <x v="0"/>
    <n v="2.4900000000000002"/>
    <x v="2"/>
    <n v="85.9"/>
    <n v="0.69"/>
    <x v="1"/>
    <n v="2"/>
    <n v="49"/>
    <n v="0.85"/>
    <n v="9"/>
    <n v="0.51"/>
    <x v="0"/>
  </r>
  <r>
    <s v="S265"/>
    <n v="265"/>
    <x v="3"/>
    <x v="2"/>
    <x v="1"/>
    <n v="2.81"/>
    <x v="0"/>
    <n v="96"/>
    <n v="0.87"/>
    <x v="2"/>
    <n v="19"/>
    <n v="63"/>
    <n v="0.95"/>
    <n v="9"/>
    <n v="0.71"/>
    <x v="1"/>
  </r>
  <r>
    <s v="S266"/>
    <n v="266"/>
    <x v="5"/>
    <x v="2"/>
    <x v="0"/>
    <n v="3.79"/>
    <x v="3"/>
    <n v="84.9"/>
    <n v="0.92"/>
    <x v="2"/>
    <n v="27"/>
    <n v="12"/>
    <n v="0.9"/>
    <n v="17"/>
    <n v="0.54"/>
    <x v="2"/>
  </r>
  <r>
    <s v="S267"/>
    <n v="267"/>
    <x v="1"/>
    <x v="1"/>
    <x v="2"/>
    <n v="2"/>
    <x v="3"/>
    <n v="65.3"/>
    <n v="0.82"/>
    <x v="1"/>
    <n v="22"/>
    <n v="64"/>
    <n v="0.64"/>
    <n v="9"/>
    <n v="0.7"/>
    <x v="0"/>
  </r>
  <r>
    <s v="S268"/>
    <n v="268"/>
    <x v="4"/>
    <x v="0"/>
    <x v="2"/>
    <n v="3.8"/>
    <x v="0"/>
    <n v="72.400000000000006"/>
    <n v="0.9"/>
    <x v="1"/>
    <n v="2"/>
    <n v="42"/>
    <n v="0.94"/>
    <n v="8"/>
    <n v="0.52"/>
    <x v="2"/>
  </r>
  <r>
    <s v="S269"/>
    <n v="269"/>
    <x v="0"/>
    <x v="1"/>
    <x v="1"/>
    <n v="2.31"/>
    <x v="1"/>
    <n v="68.099999999999994"/>
    <n v="0.86"/>
    <x v="0"/>
    <n v="23"/>
    <n v="80"/>
    <n v="0.92"/>
    <n v="18"/>
    <n v="0.92"/>
    <x v="0"/>
  </r>
  <r>
    <s v="S270"/>
    <n v="270"/>
    <x v="3"/>
    <x v="0"/>
    <x v="0"/>
    <n v="3.98"/>
    <x v="3"/>
    <n v="96.4"/>
    <n v="0.74"/>
    <x v="0"/>
    <n v="39"/>
    <n v="28"/>
    <n v="0.96"/>
    <n v="0"/>
    <n v="0.6"/>
    <x v="0"/>
  </r>
  <r>
    <s v="S271"/>
    <n v="271"/>
    <x v="6"/>
    <x v="2"/>
    <x v="3"/>
    <n v="3.91"/>
    <x v="2"/>
    <n v="90.4"/>
    <n v="0.92"/>
    <x v="0"/>
    <n v="5"/>
    <n v="43"/>
    <n v="0.73"/>
    <n v="3"/>
    <n v="0.66"/>
    <x v="2"/>
  </r>
  <r>
    <s v="S272"/>
    <n v="272"/>
    <x v="4"/>
    <x v="0"/>
    <x v="2"/>
    <n v="2.99"/>
    <x v="0"/>
    <n v="87.1"/>
    <n v="0.72"/>
    <x v="0"/>
    <n v="19"/>
    <n v="87"/>
    <n v="0.88"/>
    <n v="2"/>
    <n v="0.94"/>
    <x v="0"/>
  </r>
  <r>
    <s v="S273"/>
    <n v="273"/>
    <x v="4"/>
    <x v="2"/>
    <x v="1"/>
    <n v="3.03"/>
    <x v="2"/>
    <n v="72"/>
    <n v="0.83"/>
    <x v="0"/>
    <n v="10"/>
    <n v="59"/>
    <n v="0.8"/>
    <n v="9"/>
    <n v="0.87"/>
    <x v="1"/>
  </r>
  <r>
    <s v="S274"/>
    <n v="274"/>
    <x v="4"/>
    <x v="1"/>
    <x v="0"/>
    <n v="2.96"/>
    <x v="0"/>
    <n v="67.400000000000006"/>
    <n v="0.9"/>
    <x v="2"/>
    <n v="31"/>
    <n v="56"/>
    <n v="0.66"/>
    <n v="11"/>
    <n v="0.61"/>
    <x v="1"/>
  </r>
  <r>
    <s v="S275"/>
    <n v="275"/>
    <x v="7"/>
    <x v="1"/>
    <x v="1"/>
    <n v="3.27"/>
    <x v="3"/>
    <n v="90.3"/>
    <n v="0.75"/>
    <x v="0"/>
    <n v="26"/>
    <n v="55"/>
    <n v="1"/>
    <n v="17"/>
    <n v="0.54"/>
    <x v="1"/>
  </r>
  <r>
    <s v="S276"/>
    <n v="276"/>
    <x v="1"/>
    <x v="1"/>
    <x v="3"/>
    <n v="2.1800000000000002"/>
    <x v="1"/>
    <n v="79"/>
    <n v="0.72"/>
    <x v="0"/>
    <n v="20"/>
    <n v="65"/>
    <n v="0.52"/>
    <n v="19"/>
    <n v="0.86"/>
    <x v="0"/>
  </r>
  <r>
    <s v="S277"/>
    <n v="277"/>
    <x v="7"/>
    <x v="0"/>
    <x v="2"/>
    <n v="2.0699999999999998"/>
    <x v="0"/>
    <n v="69"/>
    <n v="0.78"/>
    <x v="1"/>
    <n v="12"/>
    <n v="66"/>
    <n v="0.57999999999999996"/>
    <n v="5"/>
    <n v="0.7"/>
    <x v="0"/>
  </r>
  <r>
    <s v="S278"/>
    <n v="278"/>
    <x v="6"/>
    <x v="2"/>
    <x v="1"/>
    <n v="2.12"/>
    <x v="0"/>
    <n v="84.7"/>
    <n v="0.93"/>
    <x v="2"/>
    <n v="21"/>
    <n v="60"/>
    <n v="0.95"/>
    <n v="1"/>
    <n v="0.88"/>
    <x v="0"/>
  </r>
  <r>
    <s v="S279"/>
    <n v="279"/>
    <x v="7"/>
    <x v="1"/>
    <x v="1"/>
    <n v="2.89"/>
    <x v="2"/>
    <n v="61.6"/>
    <n v="0.97"/>
    <x v="0"/>
    <n v="34"/>
    <n v="63"/>
    <n v="0.53"/>
    <n v="9"/>
    <n v="0.72"/>
    <x v="1"/>
  </r>
  <r>
    <s v="S280"/>
    <n v="280"/>
    <x v="5"/>
    <x v="1"/>
    <x v="1"/>
    <n v="2.5499999999999998"/>
    <x v="3"/>
    <n v="73"/>
    <n v="0.82"/>
    <x v="0"/>
    <n v="21"/>
    <n v="37"/>
    <n v="0.94"/>
    <n v="1"/>
    <n v="0.67"/>
    <x v="1"/>
  </r>
  <r>
    <s v="S281"/>
    <n v="281"/>
    <x v="1"/>
    <x v="2"/>
    <x v="3"/>
    <n v="3.24"/>
    <x v="2"/>
    <n v="78.7"/>
    <n v="0.86"/>
    <x v="0"/>
    <n v="27"/>
    <n v="28"/>
    <n v="0.86"/>
    <n v="8"/>
    <n v="0.73"/>
    <x v="2"/>
  </r>
  <r>
    <s v="S282"/>
    <n v="282"/>
    <x v="1"/>
    <x v="1"/>
    <x v="1"/>
    <n v="3.98"/>
    <x v="3"/>
    <n v="65.900000000000006"/>
    <n v="0.96"/>
    <x v="1"/>
    <n v="20"/>
    <n v="36"/>
    <n v="0.52"/>
    <n v="9"/>
    <n v="0.87"/>
    <x v="2"/>
  </r>
  <r>
    <s v="S283"/>
    <n v="283"/>
    <x v="6"/>
    <x v="2"/>
    <x v="3"/>
    <n v="2.77"/>
    <x v="2"/>
    <n v="99.4"/>
    <n v="0.64"/>
    <x v="1"/>
    <n v="17"/>
    <n v="57"/>
    <n v="0.71"/>
    <n v="1"/>
    <n v="0.95"/>
    <x v="0"/>
  </r>
  <r>
    <s v="S284"/>
    <n v="284"/>
    <x v="0"/>
    <x v="2"/>
    <x v="3"/>
    <n v="3.15"/>
    <x v="0"/>
    <n v="68.400000000000006"/>
    <n v="0.69"/>
    <x v="1"/>
    <n v="30"/>
    <n v="28"/>
    <n v="0.88"/>
    <n v="7"/>
    <n v="0.52"/>
    <x v="0"/>
  </r>
  <r>
    <s v="S285"/>
    <n v="285"/>
    <x v="5"/>
    <x v="2"/>
    <x v="3"/>
    <n v="2.83"/>
    <x v="2"/>
    <n v="65.2"/>
    <n v="0.88"/>
    <x v="0"/>
    <n v="36"/>
    <n v="60"/>
    <n v="0.79"/>
    <n v="16"/>
    <n v="0.76"/>
    <x v="1"/>
  </r>
  <r>
    <s v="S286"/>
    <n v="286"/>
    <x v="3"/>
    <x v="2"/>
    <x v="2"/>
    <n v="3.69"/>
    <x v="1"/>
    <n v="68.099999999999994"/>
    <n v="0.93"/>
    <x v="1"/>
    <n v="20"/>
    <n v="16"/>
    <n v="0.97"/>
    <n v="16"/>
    <n v="0.52"/>
    <x v="2"/>
  </r>
  <r>
    <s v="S287"/>
    <n v="287"/>
    <x v="7"/>
    <x v="2"/>
    <x v="2"/>
    <n v="3.8"/>
    <x v="3"/>
    <n v="90.8"/>
    <n v="0.94"/>
    <x v="0"/>
    <n v="13"/>
    <n v="38"/>
    <n v="0.93"/>
    <n v="3"/>
    <n v="0.73"/>
    <x v="2"/>
  </r>
  <r>
    <s v="S288"/>
    <n v="288"/>
    <x v="2"/>
    <x v="0"/>
    <x v="1"/>
    <n v="3.75"/>
    <x v="3"/>
    <n v="77"/>
    <n v="0.77"/>
    <x v="2"/>
    <n v="24"/>
    <n v="52"/>
    <n v="0.67"/>
    <n v="17"/>
    <n v="0.94"/>
    <x v="1"/>
  </r>
  <r>
    <s v="S289"/>
    <n v="289"/>
    <x v="7"/>
    <x v="1"/>
    <x v="1"/>
    <n v="3.95"/>
    <x v="0"/>
    <n v="82.6"/>
    <n v="0.64"/>
    <x v="0"/>
    <n v="26"/>
    <n v="78"/>
    <n v="0.54"/>
    <n v="11"/>
    <n v="0.68"/>
    <x v="0"/>
  </r>
  <r>
    <s v="S290"/>
    <n v="290"/>
    <x v="4"/>
    <x v="0"/>
    <x v="2"/>
    <n v="2.06"/>
    <x v="3"/>
    <n v="60.8"/>
    <n v="0.78"/>
    <x v="1"/>
    <n v="39"/>
    <n v="67"/>
    <n v="0.97"/>
    <n v="16"/>
    <n v="0.97"/>
    <x v="0"/>
  </r>
  <r>
    <s v="S291"/>
    <n v="291"/>
    <x v="7"/>
    <x v="1"/>
    <x v="0"/>
    <n v="3.68"/>
    <x v="1"/>
    <n v="61.4"/>
    <n v="0.69"/>
    <x v="2"/>
    <n v="22"/>
    <n v="17"/>
    <n v="0.76"/>
    <n v="8"/>
    <n v="0.82"/>
    <x v="0"/>
  </r>
  <r>
    <s v="S292"/>
    <n v="292"/>
    <x v="3"/>
    <x v="0"/>
    <x v="2"/>
    <n v="3.5"/>
    <x v="2"/>
    <n v="77.8"/>
    <n v="0.72"/>
    <x v="0"/>
    <n v="30"/>
    <n v="51"/>
    <n v="0.54"/>
    <n v="18"/>
    <n v="0.97"/>
    <x v="0"/>
  </r>
  <r>
    <s v="S293"/>
    <n v="293"/>
    <x v="7"/>
    <x v="2"/>
    <x v="3"/>
    <n v="2.46"/>
    <x v="0"/>
    <n v="92.7"/>
    <n v="0.91"/>
    <x v="2"/>
    <n v="28"/>
    <n v="85"/>
    <n v="0.91"/>
    <n v="13"/>
    <n v="0.88"/>
    <x v="0"/>
  </r>
  <r>
    <s v="S294"/>
    <n v="294"/>
    <x v="5"/>
    <x v="1"/>
    <x v="2"/>
    <n v="3.91"/>
    <x v="1"/>
    <n v="95.4"/>
    <n v="0.63"/>
    <x v="2"/>
    <n v="29"/>
    <n v="51"/>
    <n v="0.93"/>
    <n v="13"/>
    <n v="0.55000000000000004"/>
    <x v="0"/>
  </r>
  <r>
    <s v="S295"/>
    <n v="295"/>
    <x v="5"/>
    <x v="1"/>
    <x v="3"/>
    <n v="2.2999999999999998"/>
    <x v="3"/>
    <n v="63.5"/>
    <n v="0.93"/>
    <x v="2"/>
    <n v="25"/>
    <n v="22"/>
    <n v="0.82"/>
    <n v="16"/>
    <n v="0.62"/>
    <x v="0"/>
  </r>
  <r>
    <s v="S296"/>
    <n v="296"/>
    <x v="1"/>
    <x v="0"/>
    <x v="1"/>
    <n v="3.36"/>
    <x v="3"/>
    <n v="81.5"/>
    <n v="0.77"/>
    <x v="0"/>
    <n v="19"/>
    <n v="35"/>
    <n v="0.72"/>
    <n v="1"/>
    <n v="0.7"/>
    <x v="1"/>
  </r>
  <r>
    <s v="S297"/>
    <n v="297"/>
    <x v="6"/>
    <x v="0"/>
    <x v="0"/>
    <n v="2.4500000000000002"/>
    <x v="1"/>
    <n v="96.5"/>
    <n v="0.84"/>
    <x v="1"/>
    <n v="37"/>
    <n v="27"/>
    <n v="0.83"/>
    <n v="7"/>
    <n v="0.59"/>
    <x v="0"/>
  </r>
  <r>
    <s v="S298"/>
    <n v="298"/>
    <x v="0"/>
    <x v="1"/>
    <x v="1"/>
    <n v="2.86"/>
    <x v="2"/>
    <n v="75.5"/>
    <n v="0.64"/>
    <x v="0"/>
    <n v="18"/>
    <n v="51"/>
    <n v="0.85"/>
    <n v="4"/>
    <n v="0.75"/>
    <x v="0"/>
  </r>
  <r>
    <s v="S299"/>
    <n v="299"/>
    <x v="2"/>
    <x v="0"/>
    <x v="3"/>
    <n v="3.44"/>
    <x v="2"/>
    <n v="93.2"/>
    <n v="0.73"/>
    <x v="1"/>
    <n v="26"/>
    <n v="60"/>
    <n v="0.95"/>
    <n v="6"/>
    <n v="0.74"/>
    <x v="0"/>
  </r>
  <r>
    <s v="S300"/>
    <n v="300"/>
    <x v="4"/>
    <x v="0"/>
    <x v="3"/>
    <n v="3.13"/>
    <x v="0"/>
    <n v="65.3"/>
    <n v="0.64"/>
    <x v="0"/>
    <n v="24"/>
    <n v="25"/>
    <n v="0.98"/>
    <n v="15"/>
    <n v="0.98"/>
    <x v="0"/>
  </r>
  <r>
    <s v="S301"/>
    <n v="301"/>
    <x v="7"/>
    <x v="0"/>
    <x v="3"/>
    <n v="2.86"/>
    <x v="3"/>
    <n v="97.4"/>
    <n v="0.98"/>
    <x v="0"/>
    <n v="39"/>
    <n v="12"/>
    <n v="0.76"/>
    <n v="15"/>
    <n v="0.72"/>
    <x v="1"/>
  </r>
  <r>
    <s v="S302"/>
    <n v="302"/>
    <x v="7"/>
    <x v="2"/>
    <x v="0"/>
    <n v="2.65"/>
    <x v="1"/>
    <n v="90.1"/>
    <n v="0.92"/>
    <x v="0"/>
    <n v="37"/>
    <n v="88"/>
    <n v="0.9"/>
    <n v="16"/>
    <n v="0.89"/>
    <x v="1"/>
  </r>
  <r>
    <s v="S303"/>
    <n v="303"/>
    <x v="3"/>
    <x v="2"/>
    <x v="2"/>
    <n v="3.68"/>
    <x v="2"/>
    <n v="97.7"/>
    <n v="0.78"/>
    <x v="1"/>
    <n v="22"/>
    <n v="54"/>
    <n v="0.98"/>
    <n v="6"/>
    <n v="0.97"/>
    <x v="1"/>
  </r>
  <r>
    <s v="S304"/>
    <n v="304"/>
    <x v="6"/>
    <x v="0"/>
    <x v="1"/>
    <n v="2.29"/>
    <x v="0"/>
    <n v="87.1"/>
    <n v="0.69"/>
    <x v="0"/>
    <n v="28"/>
    <n v="31"/>
    <n v="0.57999999999999996"/>
    <n v="19"/>
    <n v="0.94"/>
    <x v="0"/>
  </r>
  <r>
    <s v="S305"/>
    <n v="305"/>
    <x v="5"/>
    <x v="0"/>
    <x v="1"/>
    <n v="2.86"/>
    <x v="3"/>
    <n v="74.5"/>
    <n v="0.97"/>
    <x v="2"/>
    <n v="14"/>
    <n v="32"/>
    <n v="0.51"/>
    <n v="7"/>
    <n v="0.6"/>
    <x v="1"/>
  </r>
  <r>
    <s v="S306"/>
    <n v="306"/>
    <x v="2"/>
    <x v="2"/>
    <x v="2"/>
    <n v="3.81"/>
    <x v="3"/>
    <n v="97.5"/>
    <n v="0.74"/>
    <x v="0"/>
    <n v="2"/>
    <n v="68"/>
    <n v="0.93"/>
    <n v="7"/>
    <n v="0.75"/>
    <x v="0"/>
  </r>
  <r>
    <s v="S307"/>
    <n v="307"/>
    <x v="1"/>
    <x v="2"/>
    <x v="1"/>
    <n v="3.69"/>
    <x v="0"/>
    <n v="71"/>
    <n v="0.66"/>
    <x v="2"/>
    <n v="9"/>
    <n v="71"/>
    <n v="0.6"/>
    <n v="10"/>
    <n v="0.67"/>
    <x v="0"/>
  </r>
  <r>
    <s v="S308"/>
    <n v="308"/>
    <x v="5"/>
    <x v="1"/>
    <x v="0"/>
    <n v="2.8"/>
    <x v="0"/>
    <n v="73.3"/>
    <n v="0.83"/>
    <x v="1"/>
    <n v="14"/>
    <n v="77"/>
    <n v="0.52"/>
    <n v="14"/>
    <n v="0.7"/>
    <x v="1"/>
  </r>
  <r>
    <s v="S309"/>
    <n v="309"/>
    <x v="4"/>
    <x v="1"/>
    <x v="1"/>
    <n v="3.53"/>
    <x v="2"/>
    <n v="88"/>
    <n v="0.98"/>
    <x v="1"/>
    <n v="15"/>
    <n v="63"/>
    <n v="0.57999999999999996"/>
    <n v="17"/>
    <n v="0.68"/>
    <x v="2"/>
  </r>
  <r>
    <s v="S310"/>
    <n v="310"/>
    <x v="6"/>
    <x v="2"/>
    <x v="3"/>
    <n v="3.65"/>
    <x v="1"/>
    <n v="90.6"/>
    <n v="0.6"/>
    <x v="0"/>
    <n v="16"/>
    <n v="66"/>
    <n v="0.69"/>
    <n v="5"/>
    <n v="0.91"/>
    <x v="0"/>
  </r>
  <r>
    <s v="S311"/>
    <n v="311"/>
    <x v="4"/>
    <x v="0"/>
    <x v="2"/>
    <n v="3.78"/>
    <x v="3"/>
    <n v="97.2"/>
    <n v="0.7"/>
    <x v="0"/>
    <n v="18"/>
    <n v="32"/>
    <n v="0.61"/>
    <n v="11"/>
    <n v="0.73"/>
    <x v="0"/>
  </r>
  <r>
    <s v="S312"/>
    <n v="312"/>
    <x v="0"/>
    <x v="0"/>
    <x v="0"/>
    <n v="3.09"/>
    <x v="1"/>
    <n v="68.2"/>
    <n v="0.98"/>
    <x v="0"/>
    <n v="10"/>
    <n v="69"/>
    <n v="0.65"/>
    <n v="14"/>
    <n v="0.76"/>
    <x v="2"/>
  </r>
  <r>
    <s v="S313"/>
    <n v="313"/>
    <x v="1"/>
    <x v="0"/>
    <x v="2"/>
    <n v="2.41"/>
    <x v="3"/>
    <n v="91.9"/>
    <n v="0.67"/>
    <x v="2"/>
    <n v="4"/>
    <n v="82"/>
    <n v="0.99"/>
    <n v="5"/>
    <n v="0.99"/>
    <x v="0"/>
  </r>
  <r>
    <s v="S314"/>
    <n v="314"/>
    <x v="0"/>
    <x v="0"/>
    <x v="0"/>
    <n v="2.5099999999999998"/>
    <x v="3"/>
    <n v="89.5"/>
    <n v="0.65"/>
    <x v="1"/>
    <n v="4"/>
    <n v="64"/>
    <n v="0.85"/>
    <n v="17"/>
    <n v="0.53"/>
    <x v="0"/>
  </r>
  <r>
    <s v="S315"/>
    <n v="315"/>
    <x v="3"/>
    <x v="1"/>
    <x v="3"/>
    <n v="2.59"/>
    <x v="1"/>
    <n v="62.6"/>
    <n v="0.83"/>
    <x v="2"/>
    <n v="13"/>
    <n v="89"/>
    <n v="0.86"/>
    <n v="19"/>
    <n v="0.74"/>
    <x v="1"/>
  </r>
  <r>
    <s v="S316"/>
    <n v="316"/>
    <x v="4"/>
    <x v="2"/>
    <x v="2"/>
    <n v="3.19"/>
    <x v="0"/>
    <n v="75.5"/>
    <n v="0.94"/>
    <x v="2"/>
    <n v="25"/>
    <n v="72"/>
    <n v="0.55000000000000004"/>
    <n v="8"/>
    <n v="0.89"/>
    <x v="2"/>
  </r>
  <r>
    <s v="S317"/>
    <n v="317"/>
    <x v="3"/>
    <x v="0"/>
    <x v="1"/>
    <n v="2.0699999999999998"/>
    <x v="2"/>
    <n v="71.3"/>
    <n v="0.79"/>
    <x v="0"/>
    <n v="7"/>
    <n v="65"/>
    <n v="0.87"/>
    <n v="7"/>
    <n v="0.57999999999999996"/>
    <x v="0"/>
  </r>
  <r>
    <s v="S318"/>
    <n v="318"/>
    <x v="7"/>
    <x v="1"/>
    <x v="0"/>
    <n v="3.27"/>
    <x v="3"/>
    <n v="72.2"/>
    <n v="1"/>
    <x v="0"/>
    <n v="4"/>
    <n v="64"/>
    <n v="0.87"/>
    <n v="13"/>
    <n v="0.81"/>
    <x v="2"/>
  </r>
  <r>
    <s v="S319"/>
    <n v="319"/>
    <x v="0"/>
    <x v="0"/>
    <x v="2"/>
    <n v="2.73"/>
    <x v="0"/>
    <n v="99.3"/>
    <n v="0.87"/>
    <x v="2"/>
    <n v="6"/>
    <n v="34"/>
    <n v="0.83"/>
    <n v="18"/>
    <n v="0.62"/>
    <x v="1"/>
  </r>
  <r>
    <s v="S320"/>
    <n v="320"/>
    <x v="6"/>
    <x v="2"/>
    <x v="1"/>
    <n v="2.59"/>
    <x v="3"/>
    <n v="85.7"/>
    <n v="0.63"/>
    <x v="2"/>
    <n v="15"/>
    <n v="35"/>
    <n v="0.61"/>
    <n v="18"/>
    <n v="0.93"/>
    <x v="0"/>
  </r>
  <r>
    <s v="S321"/>
    <n v="321"/>
    <x v="4"/>
    <x v="1"/>
    <x v="2"/>
    <n v="3.76"/>
    <x v="2"/>
    <n v="88.7"/>
    <n v="1"/>
    <x v="0"/>
    <n v="13"/>
    <n v="58"/>
    <n v="0.71"/>
    <n v="7"/>
    <n v="0.66"/>
    <x v="2"/>
  </r>
  <r>
    <s v="S322"/>
    <n v="322"/>
    <x v="2"/>
    <x v="2"/>
    <x v="2"/>
    <n v="2.92"/>
    <x v="3"/>
    <n v="99.1"/>
    <n v="0.76"/>
    <x v="0"/>
    <n v="36"/>
    <n v="72"/>
    <n v="0.92"/>
    <n v="1"/>
    <n v="0.66"/>
    <x v="1"/>
  </r>
  <r>
    <s v="S323"/>
    <n v="323"/>
    <x v="1"/>
    <x v="2"/>
    <x v="2"/>
    <n v="2.19"/>
    <x v="2"/>
    <n v="75.099999999999994"/>
    <n v="0.71"/>
    <x v="2"/>
    <n v="3"/>
    <n v="54"/>
    <n v="0.84"/>
    <n v="3"/>
    <n v="0.8"/>
    <x v="0"/>
  </r>
  <r>
    <s v="S324"/>
    <n v="324"/>
    <x v="5"/>
    <x v="1"/>
    <x v="0"/>
    <n v="3.65"/>
    <x v="2"/>
    <n v="92.1"/>
    <n v="0.82"/>
    <x v="0"/>
    <n v="35"/>
    <n v="82"/>
    <n v="0.87"/>
    <n v="5"/>
    <n v="0.59"/>
    <x v="1"/>
  </r>
  <r>
    <s v="S325"/>
    <n v="325"/>
    <x v="6"/>
    <x v="1"/>
    <x v="1"/>
    <n v="2.1"/>
    <x v="3"/>
    <n v="77.400000000000006"/>
    <n v="0.72"/>
    <x v="0"/>
    <n v="16"/>
    <n v="88"/>
    <n v="0.79"/>
    <n v="2"/>
    <n v="0.64"/>
    <x v="0"/>
  </r>
  <r>
    <s v="S326"/>
    <n v="326"/>
    <x v="6"/>
    <x v="1"/>
    <x v="3"/>
    <n v="3.45"/>
    <x v="3"/>
    <n v="94.8"/>
    <n v="0.63"/>
    <x v="2"/>
    <n v="35"/>
    <n v="48"/>
    <n v="0.72"/>
    <n v="2"/>
    <n v="0.71"/>
    <x v="0"/>
  </r>
  <r>
    <s v="S327"/>
    <n v="327"/>
    <x v="3"/>
    <x v="1"/>
    <x v="0"/>
    <n v="3.55"/>
    <x v="2"/>
    <n v="67.2"/>
    <n v="0.6"/>
    <x v="2"/>
    <n v="5"/>
    <n v="74"/>
    <n v="0.88"/>
    <n v="18"/>
    <n v="0.68"/>
    <x v="0"/>
  </r>
  <r>
    <s v="S328"/>
    <n v="328"/>
    <x v="0"/>
    <x v="1"/>
    <x v="0"/>
    <n v="2.71"/>
    <x v="0"/>
    <n v="97.9"/>
    <n v="0.78"/>
    <x v="1"/>
    <n v="15"/>
    <n v="78"/>
    <n v="0.53"/>
    <n v="10"/>
    <n v="0.76"/>
    <x v="1"/>
  </r>
  <r>
    <s v="S329"/>
    <n v="329"/>
    <x v="4"/>
    <x v="1"/>
    <x v="0"/>
    <n v="3.65"/>
    <x v="1"/>
    <n v="68.8"/>
    <n v="0.93"/>
    <x v="2"/>
    <n v="28"/>
    <n v="65"/>
    <n v="0.84"/>
    <n v="9"/>
    <n v="0.8"/>
    <x v="2"/>
  </r>
  <r>
    <s v="S330"/>
    <n v="330"/>
    <x v="4"/>
    <x v="1"/>
    <x v="3"/>
    <n v="3.03"/>
    <x v="2"/>
    <n v="73"/>
    <n v="0.83"/>
    <x v="0"/>
    <n v="35"/>
    <n v="18"/>
    <n v="1"/>
    <n v="11"/>
    <n v="0.78"/>
    <x v="1"/>
  </r>
  <r>
    <s v="S331"/>
    <n v="331"/>
    <x v="7"/>
    <x v="0"/>
    <x v="1"/>
    <n v="2.93"/>
    <x v="3"/>
    <n v="90.2"/>
    <n v="1"/>
    <x v="2"/>
    <n v="37"/>
    <n v="79"/>
    <n v="0.89"/>
    <n v="13"/>
    <n v="0.83"/>
    <x v="1"/>
  </r>
  <r>
    <s v="S332"/>
    <n v="332"/>
    <x v="7"/>
    <x v="2"/>
    <x v="1"/>
    <n v="2.09"/>
    <x v="3"/>
    <n v="75.8"/>
    <n v="0.71"/>
    <x v="2"/>
    <n v="36"/>
    <n v="37"/>
    <n v="0.65"/>
    <n v="17"/>
    <n v="0.65"/>
    <x v="0"/>
  </r>
  <r>
    <s v="S333"/>
    <n v="333"/>
    <x v="1"/>
    <x v="1"/>
    <x v="1"/>
    <n v="2.58"/>
    <x v="0"/>
    <n v="84.3"/>
    <n v="0.71"/>
    <x v="2"/>
    <n v="9"/>
    <n v="54"/>
    <n v="0.64"/>
    <n v="8"/>
    <n v="0.56000000000000005"/>
    <x v="0"/>
  </r>
  <r>
    <s v="S334"/>
    <n v="334"/>
    <x v="3"/>
    <x v="0"/>
    <x v="2"/>
    <n v="3.86"/>
    <x v="1"/>
    <n v="77.8"/>
    <n v="0.66"/>
    <x v="1"/>
    <n v="35"/>
    <n v="35"/>
    <n v="0.83"/>
    <n v="14"/>
    <n v="0.88"/>
    <x v="0"/>
  </r>
  <r>
    <s v="S335"/>
    <n v="335"/>
    <x v="6"/>
    <x v="0"/>
    <x v="2"/>
    <n v="2.78"/>
    <x v="2"/>
    <n v="89.7"/>
    <n v="0.67"/>
    <x v="1"/>
    <n v="28"/>
    <n v="37"/>
    <n v="0.95"/>
    <n v="2"/>
    <n v="0.93"/>
    <x v="0"/>
  </r>
  <r>
    <s v="S336"/>
    <n v="336"/>
    <x v="4"/>
    <x v="0"/>
    <x v="2"/>
    <n v="3.09"/>
    <x v="2"/>
    <n v="69.099999999999994"/>
    <n v="0.71"/>
    <x v="0"/>
    <n v="13"/>
    <n v="49"/>
    <n v="0.79"/>
    <n v="10"/>
    <n v="0.63"/>
    <x v="0"/>
  </r>
  <r>
    <s v="S337"/>
    <n v="337"/>
    <x v="2"/>
    <x v="2"/>
    <x v="3"/>
    <n v="3.06"/>
    <x v="1"/>
    <n v="62.3"/>
    <n v="0.92"/>
    <x v="1"/>
    <n v="3"/>
    <n v="24"/>
    <n v="0.76"/>
    <n v="9"/>
    <n v="0.7"/>
    <x v="2"/>
  </r>
  <r>
    <s v="S338"/>
    <n v="338"/>
    <x v="3"/>
    <x v="1"/>
    <x v="2"/>
    <n v="3.18"/>
    <x v="2"/>
    <n v="72"/>
    <n v="0.96"/>
    <x v="2"/>
    <n v="35"/>
    <n v="15"/>
    <n v="0.57999999999999996"/>
    <n v="17"/>
    <n v="0.75"/>
    <x v="2"/>
  </r>
  <r>
    <s v="S339"/>
    <n v="339"/>
    <x v="1"/>
    <x v="0"/>
    <x v="3"/>
    <n v="2.12"/>
    <x v="1"/>
    <n v="79"/>
    <n v="0.99"/>
    <x v="1"/>
    <n v="12"/>
    <n v="36"/>
    <n v="0.86"/>
    <n v="3"/>
    <n v="0.77"/>
    <x v="0"/>
  </r>
  <r>
    <s v="S340"/>
    <n v="340"/>
    <x v="1"/>
    <x v="2"/>
    <x v="1"/>
    <n v="2.72"/>
    <x v="3"/>
    <n v="66.7"/>
    <n v="0.69"/>
    <x v="2"/>
    <n v="17"/>
    <n v="47"/>
    <n v="0.85"/>
    <n v="12"/>
    <n v="0.83"/>
    <x v="0"/>
  </r>
  <r>
    <s v="S341"/>
    <n v="341"/>
    <x v="3"/>
    <x v="2"/>
    <x v="2"/>
    <n v="3.45"/>
    <x v="1"/>
    <n v="74.2"/>
    <n v="0.95"/>
    <x v="1"/>
    <n v="32"/>
    <n v="77"/>
    <n v="0.98"/>
    <n v="5"/>
    <n v="0.52"/>
    <x v="2"/>
  </r>
  <r>
    <s v="S342"/>
    <n v="342"/>
    <x v="1"/>
    <x v="2"/>
    <x v="2"/>
    <n v="2.4"/>
    <x v="2"/>
    <n v="76"/>
    <n v="0.73"/>
    <x v="1"/>
    <n v="20"/>
    <n v="84"/>
    <n v="0.65"/>
    <n v="12"/>
    <n v="0.86"/>
    <x v="0"/>
  </r>
  <r>
    <s v="S343"/>
    <n v="343"/>
    <x v="3"/>
    <x v="0"/>
    <x v="0"/>
    <n v="2.41"/>
    <x v="1"/>
    <n v="62.3"/>
    <n v="0.65"/>
    <x v="1"/>
    <n v="15"/>
    <n v="73"/>
    <n v="0.88"/>
    <n v="19"/>
    <n v="0.53"/>
    <x v="0"/>
  </r>
  <r>
    <s v="S344"/>
    <n v="344"/>
    <x v="5"/>
    <x v="1"/>
    <x v="3"/>
    <n v="2.02"/>
    <x v="0"/>
    <n v="83.3"/>
    <n v="0.95"/>
    <x v="2"/>
    <n v="14"/>
    <n v="39"/>
    <n v="0.72"/>
    <n v="4"/>
    <n v="0.73"/>
    <x v="0"/>
  </r>
  <r>
    <s v="S345"/>
    <n v="345"/>
    <x v="3"/>
    <x v="0"/>
    <x v="1"/>
    <n v="2.87"/>
    <x v="3"/>
    <n v="95.4"/>
    <n v="0.85"/>
    <x v="1"/>
    <n v="4"/>
    <n v="12"/>
    <n v="0.78"/>
    <n v="19"/>
    <n v="0.91"/>
    <x v="1"/>
  </r>
  <r>
    <s v="S346"/>
    <n v="346"/>
    <x v="0"/>
    <x v="0"/>
    <x v="0"/>
    <n v="3.77"/>
    <x v="3"/>
    <n v="66.099999999999994"/>
    <n v="0.67"/>
    <x v="2"/>
    <n v="5"/>
    <n v="71"/>
    <n v="0.91"/>
    <n v="13"/>
    <n v="0.73"/>
    <x v="0"/>
  </r>
  <r>
    <s v="S347"/>
    <n v="347"/>
    <x v="3"/>
    <x v="1"/>
    <x v="0"/>
    <n v="2.1"/>
    <x v="1"/>
    <n v="83.9"/>
    <n v="0.77"/>
    <x v="2"/>
    <n v="37"/>
    <n v="21"/>
    <n v="0.61"/>
    <n v="12"/>
    <n v="0.56999999999999995"/>
    <x v="0"/>
  </r>
  <r>
    <s v="S348"/>
    <n v="348"/>
    <x v="1"/>
    <x v="1"/>
    <x v="1"/>
    <n v="2.38"/>
    <x v="2"/>
    <n v="86.6"/>
    <n v="0.71"/>
    <x v="0"/>
    <n v="2"/>
    <n v="39"/>
    <n v="0.67"/>
    <n v="13"/>
    <n v="0.99"/>
    <x v="0"/>
  </r>
  <r>
    <s v="S349"/>
    <n v="349"/>
    <x v="4"/>
    <x v="1"/>
    <x v="0"/>
    <n v="2.62"/>
    <x v="0"/>
    <n v="76.8"/>
    <n v="0.89"/>
    <x v="1"/>
    <n v="11"/>
    <n v="47"/>
    <n v="0.89"/>
    <n v="7"/>
    <n v="0.94"/>
    <x v="1"/>
  </r>
  <r>
    <s v="S350"/>
    <n v="350"/>
    <x v="0"/>
    <x v="2"/>
    <x v="3"/>
    <n v="3.46"/>
    <x v="3"/>
    <n v="88"/>
    <n v="0.78"/>
    <x v="0"/>
    <n v="35"/>
    <n v="69"/>
    <n v="0.79"/>
    <n v="15"/>
    <n v="0.89"/>
    <x v="1"/>
  </r>
  <r>
    <s v="S351"/>
    <n v="351"/>
    <x v="1"/>
    <x v="1"/>
    <x v="3"/>
    <n v="3.28"/>
    <x v="3"/>
    <n v="76.400000000000006"/>
    <n v="1"/>
    <x v="0"/>
    <n v="32"/>
    <n v="47"/>
    <n v="0.55000000000000004"/>
    <n v="12"/>
    <n v="0.71"/>
    <x v="2"/>
  </r>
  <r>
    <s v="S352"/>
    <n v="352"/>
    <x v="7"/>
    <x v="0"/>
    <x v="2"/>
    <n v="2.83"/>
    <x v="2"/>
    <n v="80.2"/>
    <n v="0.62"/>
    <x v="2"/>
    <n v="35"/>
    <n v="24"/>
    <n v="0.72"/>
    <n v="14"/>
    <n v="0.59"/>
    <x v="0"/>
  </r>
  <r>
    <s v="S353"/>
    <n v="353"/>
    <x v="7"/>
    <x v="1"/>
    <x v="0"/>
    <n v="3.52"/>
    <x v="2"/>
    <n v="60.3"/>
    <n v="0.74"/>
    <x v="1"/>
    <n v="32"/>
    <n v="27"/>
    <n v="0.79"/>
    <n v="18"/>
    <n v="0.97"/>
    <x v="0"/>
  </r>
  <r>
    <s v="S354"/>
    <n v="354"/>
    <x v="4"/>
    <x v="0"/>
    <x v="2"/>
    <n v="3.22"/>
    <x v="0"/>
    <n v="87.7"/>
    <n v="0.79"/>
    <x v="2"/>
    <n v="30"/>
    <n v="61"/>
    <n v="0.95"/>
    <n v="0"/>
    <n v="0.77"/>
    <x v="1"/>
  </r>
  <r>
    <s v="S355"/>
    <n v="355"/>
    <x v="4"/>
    <x v="2"/>
    <x v="0"/>
    <n v="3.79"/>
    <x v="1"/>
    <n v="86.5"/>
    <n v="0.8"/>
    <x v="2"/>
    <n v="20"/>
    <n v="38"/>
    <n v="0.59"/>
    <n v="1"/>
    <n v="0.93"/>
    <x v="1"/>
  </r>
  <r>
    <s v="S356"/>
    <n v="356"/>
    <x v="0"/>
    <x v="0"/>
    <x v="3"/>
    <n v="3.64"/>
    <x v="2"/>
    <n v="61.5"/>
    <n v="0.73"/>
    <x v="1"/>
    <n v="26"/>
    <n v="69"/>
    <n v="0.9"/>
    <n v="17"/>
    <n v="0.67"/>
    <x v="0"/>
  </r>
  <r>
    <s v="S357"/>
    <n v="357"/>
    <x v="5"/>
    <x v="0"/>
    <x v="3"/>
    <n v="2.5099999999999998"/>
    <x v="1"/>
    <n v="74.7"/>
    <n v="0.89"/>
    <x v="2"/>
    <n v="26"/>
    <n v="30"/>
    <n v="0.56999999999999995"/>
    <n v="18"/>
    <n v="0.67"/>
    <x v="1"/>
  </r>
  <r>
    <s v="S358"/>
    <n v="358"/>
    <x v="4"/>
    <x v="1"/>
    <x v="3"/>
    <n v="2.54"/>
    <x v="0"/>
    <n v="99.2"/>
    <n v="0.95"/>
    <x v="1"/>
    <n v="7"/>
    <n v="26"/>
    <n v="0.62"/>
    <n v="7"/>
    <n v="0.99"/>
    <x v="1"/>
  </r>
  <r>
    <s v="S359"/>
    <n v="359"/>
    <x v="7"/>
    <x v="1"/>
    <x v="0"/>
    <n v="2.25"/>
    <x v="1"/>
    <n v="76.8"/>
    <n v="0.98"/>
    <x v="1"/>
    <n v="36"/>
    <n v="27"/>
    <n v="0.62"/>
    <n v="2"/>
    <n v="0.76"/>
    <x v="0"/>
  </r>
  <r>
    <s v="S360"/>
    <n v="360"/>
    <x v="3"/>
    <x v="0"/>
    <x v="3"/>
    <n v="2.67"/>
    <x v="3"/>
    <n v="80.099999999999994"/>
    <n v="0.92"/>
    <x v="2"/>
    <n v="31"/>
    <n v="66"/>
    <n v="0.94"/>
    <n v="13"/>
    <n v="0.56999999999999995"/>
    <x v="1"/>
  </r>
  <r>
    <s v="S361"/>
    <n v="361"/>
    <x v="1"/>
    <x v="1"/>
    <x v="0"/>
    <n v="4"/>
    <x v="1"/>
    <n v="96.4"/>
    <n v="0.94"/>
    <x v="2"/>
    <n v="25"/>
    <n v="46"/>
    <n v="0.6"/>
    <n v="8"/>
    <n v="0.61"/>
    <x v="2"/>
  </r>
  <r>
    <s v="S362"/>
    <n v="362"/>
    <x v="7"/>
    <x v="2"/>
    <x v="2"/>
    <n v="2.81"/>
    <x v="0"/>
    <n v="88.7"/>
    <n v="0.82"/>
    <x v="0"/>
    <n v="1"/>
    <n v="69"/>
    <n v="0.89"/>
    <n v="7"/>
    <n v="0.74"/>
    <x v="1"/>
  </r>
  <r>
    <s v="S363"/>
    <n v="363"/>
    <x v="7"/>
    <x v="2"/>
    <x v="0"/>
    <n v="2.44"/>
    <x v="0"/>
    <n v="83.3"/>
    <n v="0.93"/>
    <x v="2"/>
    <n v="11"/>
    <n v="47"/>
    <n v="0.73"/>
    <n v="16"/>
    <n v="0.52"/>
    <x v="0"/>
  </r>
  <r>
    <s v="S364"/>
    <n v="364"/>
    <x v="5"/>
    <x v="1"/>
    <x v="2"/>
    <n v="3.52"/>
    <x v="0"/>
    <n v="91.9"/>
    <n v="0.72"/>
    <x v="1"/>
    <n v="21"/>
    <n v="21"/>
    <n v="1"/>
    <n v="15"/>
    <n v="0.73"/>
    <x v="0"/>
  </r>
  <r>
    <s v="S365"/>
    <n v="365"/>
    <x v="0"/>
    <x v="2"/>
    <x v="0"/>
    <n v="3.08"/>
    <x v="1"/>
    <n v="94.6"/>
    <n v="0.76"/>
    <x v="0"/>
    <n v="16"/>
    <n v="84"/>
    <n v="0.92"/>
    <n v="9"/>
    <n v="0.71"/>
    <x v="1"/>
  </r>
  <r>
    <s v="S366"/>
    <n v="366"/>
    <x v="0"/>
    <x v="1"/>
    <x v="2"/>
    <n v="2.2999999999999998"/>
    <x v="3"/>
    <n v="78.3"/>
    <n v="0.73"/>
    <x v="1"/>
    <n v="6"/>
    <n v="82"/>
    <n v="0.87"/>
    <n v="9"/>
    <n v="0.89"/>
    <x v="0"/>
  </r>
  <r>
    <s v="S367"/>
    <n v="367"/>
    <x v="6"/>
    <x v="0"/>
    <x v="3"/>
    <n v="2.76"/>
    <x v="2"/>
    <n v="79"/>
    <n v="0.79"/>
    <x v="0"/>
    <n v="3"/>
    <n v="10"/>
    <n v="0.94"/>
    <n v="5"/>
    <n v="0.68"/>
    <x v="1"/>
  </r>
  <r>
    <s v="S368"/>
    <n v="368"/>
    <x v="5"/>
    <x v="0"/>
    <x v="2"/>
    <n v="2.83"/>
    <x v="3"/>
    <n v="75.400000000000006"/>
    <n v="0.71"/>
    <x v="2"/>
    <n v="36"/>
    <n v="67"/>
    <n v="0.82"/>
    <n v="16"/>
    <n v="0.99"/>
    <x v="0"/>
  </r>
  <r>
    <s v="S369"/>
    <n v="369"/>
    <x v="3"/>
    <x v="2"/>
    <x v="3"/>
    <n v="3.51"/>
    <x v="1"/>
    <n v="98.7"/>
    <n v="0.98"/>
    <x v="2"/>
    <n v="37"/>
    <n v="12"/>
    <n v="0.92"/>
    <n v="15"/>
    <n v="0.59"/>
    <x v="2"/>
  </r>
  <r>
    <s v="S370"/>
    <n v="370"/>
    <x v="0"/>
    <x v="1"/>
    <x v="3"/>
    <n v="2.04"/>
    <x v="1"/>
    <n v="87.9"/>
    <n v="0.73"/>
    <x v="2"/>
    <n v="31"/>
    <n v="72"/>
    <n v="0.63"/>
    <n v="14"/>
    <n v="0.8"/>
    <x v="0"/>
  </r>
  <r>
    <s v="S371"/>
    <n v="371"/>
    <x v="1"/>
    <x v="1"/>
    <x v="2"/>
    <n v="2.54"/>
    <x v="2"/>
    <n v="63.3"/>
    <n v="0.64"/>
    <x v="1"/>
    <n v="10"/>
    <n v="30"/>
    <n v="0.55000000000000004"/>
    <n v="13"/>
    <n v="0.54"/>
    <x v="0"/>
  </r>
  <r>
    <s v="S372"/>
    <n v="372"/>
    <x v="4"/>
    <x v="2"/>
    <x v="0"/>
    <n v="3.04"/>
    <x v="1"/>
    <n v="94.5"/>
    <n v="0.81"/>
    <x v="0"/>
    <n v="0"/>
    <n v="32"/>
    <n v="0.81"/>
    <n v="3"/>
    <n v="0.87"/>
    <x v="1"/>
  </r>
  <r>
    <s v="S373"/>
    <n v="373"/>
    <x v="5"/>
    <x v="0"/>
    <x v="0"/>
    <n v="2.54"/>
    <x v="0"/>
    <n v="79.2"/>
    <n v="0.62"/>
    <x v="1"/>
    <n v="24"/>
    <n v="18"/>
    <n v="0.72"/>
    <n v="3"/>
    <n v="1"/>
    <x v="0"/>
  </r>
  <r>
    <s v="S374"/>
    <n v="374"/>
    <x v="4"/>
    <x v="2"/>
    <x v="1"/>
    <n v="3.26"/>
    <x v="0"/>
    <n v="62.8"/>
    <n v="0.64"/>
    <x v="0"/>
    <n v="23"/>
    <n v="64"/>
    <n v="0.71"/>
    <n v="1"/>
    <n v="0.91"/>
    <x v="0"/>
  </r>
  <r>
    <s v="S375"/>
    <n v="375"/>
    <x v="7"/>
    <x v="0"/>
    <x v="0"/>
    <n v="2.96"/>
    <x v="0"/>
    <n v="82"/>
    <n v="0.69"/>
    <x v="2"/>
    <n v="16"/>
    <n v="28"/>
    <n v="0.76"/>
    <n v="10"/>
    <n v="0.78"/>
    <x v="0"/>
  </r>
  <r>
    <s v="S376"/>
    <n v="376"/>
    <x v="1"/>
    <x v="1"/>
    <x v="1"/>
    <n v="2.72"/>
    <x v="0"/>
    <n v="76.7"/>
    <n v="0.79"/>
    <x v="1"/>
    <n v="7"/>
    <n v="71"/>
    <n v="0.68"/>
    <n v="3"/>
    <n v="0.74"/>
    <x v="1"/>
  </r>
  <r>
    <s v="S377"/>
    <n v="377"/>
    <x v="1"/>
    <x v="0"/>
    <x v="0"/>
    <n v="3.9"/>
    <x v="0"/>
    <n v="95.1"/>
    <n v="0.77"/>
    <x v="2"/>
    <n v="26"/>
    <n v="48"/>
    <n v="0.81"/>
    <n v="15"/>
    <n v="0.92"/>
    <x v="1"/>
  </r>
  <r>
    <s v="S378"/>
    <n v="378"/>
    <x v="7"/>
    <x v="2"/>
    <x v="0"/>
    <n v="3.26"/>
    <x v="1"/>
    <n v="68.2"/>
    <n v="0.92"/>
    <x v="1"/>
    <n v="17"/>
    <n v="85"/>
    <n v="0.52"/>
    <n v="3"/>
    <n v="0.97"/>
    <x v="2"/>
  </r>
  <r>
    <s v="S379"/>
    <n v="379"/>
    <x v="5"/>
    <x v="1"/>
    <x v="3"/>
    <n v="2.2599999999999998"/>
    <x v="2"/>
    <n v="93.1"/>
    <n v="0.9"/>
    <x v="2"/>
    <n v="26"/>
    <n v="36"/>
    <n v="0.98"/>
    <n v="0"/>
    <n v="0.99"/>
    <x v="0"/>
  </r>
  <r>
    <s v="S380"/>
    <n v="380"/>
    <x v="7"/>
    <x v="2"/>
    <x v="1"/>
    <n v="3.12"/>
    <x v="2"/>
    <n v="82.3"/>
    <n v="0.77"/>
    <x v="1"/>
    <n v="21"/>
    <n v="55"/>
    <n v="0.96"/>
    <n v="18"/>
    <n v="0.7"/>
    <x v="1"/>
  </r>
  <r>
    <s v="S381"/>
    <n v="381"/>
    <x v="4"/>
    <x v="2"/>
    <x v="0"/>
    <n v="3.56"/>
    <x v="0"/>
    <n v="62.2"/>
    <n v="0.73"/>
    <x v="1"/>
    <n v="15"/>
    <n v="43"/>
    <n v="0.97"/>
    <n v="1"/>
    <n v="1"/>
    <x v="0"/>
  </r>
  <r>
    <s v="S382"/>
    <n v="382"/>
    <x v="6"/>
    <x v="0"/>
    <x v="1"/>
    <n v="3.42"/>
    <x v="1"/>
    <n v="98.9"/>
    <n v="0.73"/>
    <x v="0"/>
    <n v="1"/>
    <n v="42"/>
    <n v="0.68"/>
    <n v="8"/>
    <n v="0.57999999999999996"/>
    <x v="0"/>
  </r>
  <r>
    <s v="S383"/>
    <n v="383"/>
    <x v="1"/>
    <x v="2"/>
    <x v="3"/>
    <n v="2.34"/>
    <x v="3"/>
    <n v="80.5"/>
    <n v="0.91"/>
    <x v="2"/>
    <n v="4"/>
    <n v="59"/>
    <n v="0.77"/>
    <n v="12"/>
    <n v="0.63"/>
    <x v="0"/>
  </r>
  <r>
    <s v="S384"/>
    <n v="384"/>
    <x v="2"/>
    <x v="0"/>
    <x v="3"/>
    <n v="3.94"/>
    <x v="3"/>
    <n v="71.599999999999994"/>
    <n v="0.62"/>
    <x v="0"/>
    <n v="17"/>
    <n v="29"/>
    <n v="0.98"/>
    <n v="17"/>
    <n v="0.54"/>
    <x v="0"/>
  </r>
  <r>
    <s v="S385"/>
    <n v="385"/>
    <x v="2"/>
    <x v="1"/>
    <x v="1"/>
    <n v="2.9"/>
    <x v="1"/>
    <n v="78.8"/>
    <n v="0.61"/>
    <x v="0"/>
    <n v="2"/>
    <n v="49"/>
    <n v="0.95"/>
    <n v="15"/>
    <n v="0.64"/>
    <x v="0"/>
  </r>
  <r>
    <s v="S386"/>
    <n v="386"/>
    <x v="4"/>
    <x v="0"/>
    <x v="3"/>
    <n v="2.3199999999999998"/>
    <x v="0"/>
    <n v="94.3"/>
    <n v="0.92"/>
    <x v="2"/>
    <n v="26"/>
    <n v="67"/>
    <n v="0.9"/>
    <n v="15"/>
    <n v="0.88"/>
    <x v="0"/>
  </r>
  <r>
    <s v="S387"/>
    <n v="387"/>
    <x v="3"/>
    <x v="1"/>
    <x v="2"/>
    <n v="2.36"/>
    <x v="2"/>
    <n v="72.2"/>
    <n v="0.79"/>
    <x v="1"/>
    <n v="16"/>
    <n v="40"/>
    <n v="0.7"/>
    <n v="9"/>
    <n v="0.93"/>
    <x v="0"/>
  </r>
  <r>
    <s v="S388"/>
    <n v="388"/>
    <x v="0"/>
    <x v="0"/>
    <x v="2"/>
    <n v="2.2000000000000002"/>
    <x v="1"/>
    <n v="67.7"/>
    <n v="0.65"/>
    <x v="0"/>
    <n v="15"/>
    <n v="47"/>
    <n v="0.78"/>
    <n v="8"/>
    <n v="0.89"/>
    <x v="0"/>
  </r>
  <r>
    <s v="S389"/>
    <n v="389"/>
    <x v="7"/>
    <x v="2"/>
    <x v="3"/>
    <n v="3.61"/>
    <x v="3"/>
    <n v="65.2"/>
    <n v="0.69"/>
    <x v="2"/>
    <n v="5"/>
    <n v="54"/>
    <n v="0.9"/>
    <n v="10"/>
    <n v="0.82"/>
    <x v="0"/>
  </r>
  <r>
    <s v="S390"/>
    <n v="390"/>
    <x v="7"/>
    <x v="0"/>
    <x v="2"/>
    <n v="2.2400000000000002"/>
    <x v="3"/>
    <n v="71.900000000000006"/>
    <n v="0.97"/>
    <x v="1"/>
    <n v="6"/>
    <n v="50"/>
    <n v="0.64"/>
    <n v="3"/>
    <n v="0.76"/>
    <x v="0"/>
  </r>
  <r>
    <s v="S391"/>
    <n v="391"/>
    <x v="3"/>
    <x v="0"/>
    <x v="0"/>
    <n v="2.25"/>
    <x v="3"/>
    <n v="91.2"/>
    <n v="0.94"/>
    <x v="0"/>
    <n v="13"/>
    <n v="18"/>
    <n v="0.81"/>
    <n v="9"/>
    <n v="0.85"/>
    <x v="0"/>
  </r>
  <r>
    <s v="S392"/>
    <n v="392"/>
    <x v="3"/>
    <x v="1"/>
    <x v="1"/>
    <n v="3.7"/>
    <x v="0"/>
    <n v="78.900000000000006"/>
    <n v="0.88"/>
    <x v="0"/>
    <n v="37"/>
    <n v="18"/>
    <n v="0.91"/>
    <n v="2"/>
    <n v="0.7"/>
    <x v="2"/>
  </r>
  <r>
    <s v="S393"/>
    <n v="393"/>
    <x v="4"/>
    <x v="2"/>
    <x v="0"/>
    <n v="2.69"/>
    <x v="3"/>
    <n v="69.099999999999994"/>
    <n v="0.79"/>
    <x v="0"/>
    <n v="39"/>
    <n v="72"/>
    <n v="0.85"/>
    <n v="5"/>
    <n v="0.92"/>
    <x v="1"/>
  </r>
  <r>
    <s v="S394"/>
    <n v="394"/>
    <x v="4"/>
    <x v="0"/>
    <x v="1"/>
    <n v="2.06"/>
    <x v="1"/>
    <n v="66.599999999999994"/>
    <n v="0.81"/>
    <x v="1"/>
    <n v="14"/>
    <n v="88"/>
    <n v="0.74"/>
    <n v="2"/>
    <n v="0.84"/>
    <x v="0"/>
  </r>
  <r>
    <s v="S395"/>
    <n v="395"/>
    <x v="3"/>
    <x v="2"/>
    <x v="3"/>
    <n v="2.1"/>
    <x v="1"/>
    <n v="73.3"/>
    <n v="0.99"/>
    <x v="0"/>
    <n v="32"/>
    <n v="86"/>
    <n v="0.79"/>
    <n v="8"/>
    <n v="0.85"/>
    <x v="0"/>
  </r>
  <r>
    <s v="S396"/>
    <n v="396"/>
    <x v="1"/>
    <x v="0"/>
    <x v="0"/>
    <n v="2.2799999999999998"/>
    <x v="3"/>
    <n v="97.6"/>
    <n v="0.99"/>
    <x v="1"/>
    <n v="26"/>
    <n v="31"/>
    <n v="0.99"/>
    <n v="2"/>
    <n v="0.77"/>
    <x v="0"/>
  </r>
  <r>
    <s v="S397"/>
    <n v="397"/>
    <x v="4"/>
    <x v="0"/>
    <x v="3"/>
    <n v="2.4300000000000002"/>
    <x v="1"/>
    <n v="73.7"/>
    <n v="0.69"/>
    <x v="0"/>
    <n v="28"/>
    <n v="25"/>
    <n v="0.8"/>
    <n v="17"/>
    <n v="0.94"/>
    <x v="0"/>
  </r>
  <r>
    <s v="S398"/>
    <n v="398"/>
    <x v="6"/>
    <x v="2"/>
    <x v="3"/>
    <n v="3.33"/>
    <x v="3"/>
    <n v="99.5"/>
    <n v="0.92"/>
    <x v="2"/>
    <n v="36"/>
    <n v="41"/>
    <n v="0.89"/>
    <n v="7"/>
    <n v="0.63"/>
    <x v="2"/>
  </r>
  <r>
    <s v="S399"/>
    <n v="399"/>
    <x v="4"/>
    <x v="0"/>
    <x v="1"/>
    <n v="2.31"/>
    <x v="3"/>
    <n v="79.400000000000006"/>
    <n v="0.68"/>
    <x v="0"/>
    <n v="4"/>
    <n v="75"/>
    <n v="0.86"/>
    <n v="7"/>
    <n v="0.69"/>
    <x v="0"/>
  </r>
  <r>
    <s v="S400"/>
    <n v="400"/>
    <x v="7"/>
    <x v="2"/>
    <x v="1"/>
    <n v="2.2400000000000002"/>
    <x v="2"/>
    <n v="67.2"/>
    <n v="0.69"/>
    <x v="2"/>
    <n v="28"/>
    <n v="23"/>
    <n v="0.85"/>
    <n v="14"/>
    <n v="0.89"/>
    <x v="0"/>
  </r>
  <r>
    <s v="S401"/>
    <n v="401"/>
    <x v="4"/>
    <x v="0"/>
    <x v="1"/>
    <n v="3.53"/>
    <x v="0"/>
    <n v="95.6"/>
    <n v="0.87"/>
    <x v="2"/>
    <n v="31"/>
    <n v="47"/>
    <n v="0.86"/>
    <n v="12"/>
    <n v="0.75"/>
    <x v="2"/>
  </r>
  <r>
    <s v="S402"/>
    <n v="402"/>
    <x v="1"/>
    <x v="1"/>
    <x v="0"/>
    <n v="3.34"/>
    <x v="0"/>
    <n v="78.400000000000006"/>
    <n v="0.76"/>
    <x v="2"/>
    <n v="5"/>
    <n v="17"/>
    <n v="0.73"/>
    <n v="6"/>
    <n v="0.94"/>
    <x v="1"/>
  </r>
  <r>
    <s v="S403"/>
    <n v="403"/>
    <x v="3"/>
    <x v="2"/>
    <x v="2"/>
    <n v="2.87"/>
    <x v="2"/>
    <n v="88.4"/>
    <n v="0.97"/>
    <x v="1"/>
    <n v="1"/>
    <n v="30"/>
    <n v="0.74"/>
    <n v="18"/>
    <n v="0.67"/>
    <x v="1"/>
  </r>
  <r>
    <s v="S404"/>
    <n v="404"/>
    <x v="7"/>
    <x v="0"/>
    <x v="1"/>
    <n v="3.1"/>
    <x v="2"/>
    <n v="99.3"/>
    <n v="0.64"/>
    <x v="2"/>
    <n v="5"/>
    <n v="65"/>
    <n v="0.73"/>
    <n v="7"/>
    <n v="0.68"/>
    <x v="0"/>
  </r>
  <r>
    <s v="S405"/>
    <n v="405"/>
    <x v="4"/>
    <x v="0"/>
    <x v="1"/>
    <n v="2.62"/>
    <x v="0"/>
    <n v="62"/>
    <n v="0.8"/>
    <x v="0"/>
    <n v="3"/>
    <n v="55"/>
    <n v="0.52"/>
    <n v="9"/>
    <n v="0.94"/>
    <x v="1"/>
  </r>
  <r>
    <s v="S406"/>
    <n v="406"/>
    <x v="1"/>
    <x v="1"/>
    <x v="0"/>
    <n v="2.97"/>
    <x v="3"/>
    <n v="63.9"/>
    <n v="0.97"/>
    <x v="1"/>
    <n v="28"/>
    <n v="52"/>
    <n v="0.62"/>
    <n v="16"/>
    <n v="0.73"/>
    <x v="1"/>
  </r>
  <r>
    <s v="S407"/>
    <n v="407"/>
    <x v="6"/>
    <x v="2"/>
    <x v="1"/>
    <n v="3.01"/>
    <x v="3"/>
    <n v="88.8"/>
    <n v="0.96"/>
    <x v="2"/>
    <n v="24"/>
    <n v="55"/>
    <n v="0.57999999999999996"/>
    <n v="0"/>
    <n v="0.76"/>
    <x v="2"/>
  </r>
  <r>
    <s v="S408"/>
    <n v="408"/>
    <x v="4"/>
    <x v="0"/>
    <x v="0"/>
    <n v="2.77"/>
    <x v="0"/>
    <n v="71.3"/>
    <n v="0.66"/>
    <x v="1"/>
    <n v="8"/>
    <n v="57"/>
    <n v="0.94"/>
    <n v="12"/>
    <n v="0.67"/>
    <x v="0"/>
  </r>
  <r>
    <s v="S409"/>
    <n v="409"/>
    <x v="1"/>
    <x v="1"/>
    <x v="3"/>
    <n v="3.81"/>
    <x v="3"/>
    <n v="67.400000000000006"/>
    <n v="0.75"/>
    <x v="1"/>
    <n v="2"/>
    <n v="79"/>
    <n v="0.64"/>
    <n v="12"/>
    <n v="0.64"/>
    <x v="1"/>
  </r>
  <r>
    <s v="S410"/>
    <n v="410"/>
    <x v="6"/>
    <x v="0"/>
    <x v="1"/>
    <n v="2.0299999999999998"/>
    <x v="2"/>
    <n v="61.6"/>
    <n v="0.85"/>
    <x v="1"/>
    <n v="25"/>
    <n v="40"/>
    <n v="0.56999999999999995"/>
    <n v="15"/>
    <n v="0.83"/>
    <x v="0"/>
  </r>
  <r>
    <s v="S411"/>
    <n v="411"/>
    <x v="3"/>
    <x v="2"/>
    <x v="1"/>
    <n v="3.56"/>
    <x v="3"/>
    <n v="60.9"/>
    <n v="0.66"/>
    <x v="0"/>
    <n v="26"/>
    <n v="42"/>
    <n v="0.56000000000000005"/>
    <n v="8"/>
    <n v="0.56000000000000005"/>
    <x v="0"/>
  </r>
  <r>
    <s v="S412"/>
    <n v="412"/>
    <x v="4"/>
    <x v="0"/>
    <x v="3"/>
    <n v="2.25"/>
    <x v="3"/>
    <n v="91"/>
    <n v="0.99"/>
    <x v="2"/>
    <n v="35"/>
    <n v="53"/>
    <n v="0.85"/>
    <n v="9"/>
    <n v="0.94"/>
    <x v="0"/>
  </r>
  <r>
    <s v="S413"/>
    <n v="413"/>
    <x v="6"/>
    <x v="0"/>
    <x v="3"/>
    <n v="3.6"/>
    <x v="1"/>
    <n v="65.400000000000006"/>
    <n v="0.97"/>
    <x v="1"/>
    <n v="31"/>
    <n v="80"/>
    <n v="0.5"/>
    <n v="5"/>
    <n v="0.89"/>
    <x v="2"/>
  </r>
  <r>
    <s v="S414"/>
    <n v="414"/>
    <x v="7"/>
    <x v="0"/>
    <x v="3"/>
    <n v="3.23"/>
    <x v="1"/>
    <n v="78.7"/>
    <n v="0.67"/>
    <x v="1"/>
    <n v="0"/>
    <n v="17"/>
    <n v="0.74"/>
    <n v="4"/>
    <n v="0.6"/>
    <x v="0"/>
  </r>
  <r>
    <s v="S415"/>
    <n v="415"/>
    <x v="3"/>
    <x v="0"/>
    <x v="1"/>
    <n v="3.69"/>
    <x v="1"/>
    <n v="84.2"/>
    <n v="0.65"/>
    <x v="1"/>
    <n v="15"/>
    <n v="82"/>
    <n v="0.56000000000000005"/>
    <n v="1"/>
    <n v="0.85"/>
    <x v="0"/>
  </r>
  <r>
    <s v="S416"/>
    <n v="416"/>
    <x v="7"/>
    <x v="1"/>
    <x v="2"/>
    <n v="2.2000000000000002"/>
    <x v="3"/>
    <n v="77.099999999999994"/>
    <n v="0.63"/>
    <x v="2"/>
    <n v="10"/>
    <n v="11"/>
    <n v="0.92"/>
    <n v="10"/>
    <n v="0.8"/>
    <x v="0"/>
  </r>
  <r>
    <s v="S417"/>
    <n v="417"/>
    <x v="2"/>
    <x v="1"/>
    <x v="2"/>
    <n v="3.12"/>
    <x v="0"/>
    <n v="61.1"/>
    <n v="0.96"/>
    <x v="1"/>
    <n v="25"/>
    <n v="26"/>
    <n v="0.98"/>
    <n v="8"/>
    <n v="0.59"/>
    <x v="2"/>
  </r>
  <r>
    <s v="S418"/>
    <n v="418"/>
    <x v="5"/>
    <x v="2"/>
    <x v="2"/>
    <n v="3"/>
    <x v="2"/>
    <n v="91.3"/>
    <n v="0.68"/>
    <x v="1"/>
    <n v="39"/>
    <n v="61"/>
    <n v="0.98"/>
    <n v="5"/>
    <n v="0.64"/>
    <x v="0"/>
  </r>
  <r>
    <s v="S419"/>
    <n v="419"/>
    <x v="4"/>
    <x v="1"/>
    <x v="1"/>
    <n v="3.41"/>
    <x v="3"/>
    <n v="60.4"/>
    <n v="0.77"/>
    <x v="0"/>
    <n v="0"/>
    <n v="54"/>
    <n v="0.72"/>
    <n v="7"/>
    <n v="0.7"/>
    <x v="1"/>
  </r>
  <r>
    <s v="S420"/>
    <n v="420"/>
    <x v="6"/>
    <x v="1"/>
    <x v="3"/>
    <n v="3.07"/>
    <x v="0"/>
    <n v="90.5"/>
    <n v="0.78"/>
    <x v="2"/>
    <n v="25"/>
    <n v="46"/>
    <n v="0.82"/>
    <n v="8"/>
    <n v="0.85"/>
    <x v="1"/>
  </r>
  <r>
    <s v="S421"/>
    <n v="421"/>
    <x v="5"/>
    <x v="2"/>
    <x v="1"/>
    <n v="3.08"/>
    <x v="3"/>
    <n v="95.7"/>
    <n v="0.84"/>
    <x v="0"/>
    <n v="27"/>
    <n v="51"/>
    <n v="0.8"/>
    <n v="8"/>
    <n v="0.82"/>
    <x v="1"/>
  </r>
  <r>
    <s v="S422"/>
    <n v="422"/>
    <x v="5"/>
    <x v="1"/>
    <x v="3"/>
    <n v="2.86"/>
    <x v="2"/>
    <n v="77.3"/>
    <n v="0.63"/>
    <x v="2"/>
    <n v="8"/>
    <n v="53"/>
    <n v="0.68"/>
    <n v="7"/>
    <n v="0.77"/>
    <x v="0"/>
  </r>
  <r>
    <s v="S423"/>
    <n v="423"/>
    <x v="6"/>
    <x v="1"/>
    <x v="1"/>
    <n v="2.62"/>
    <x v="3"/>
    <n v="81.400000000000006"/>
    <n v="0.69"/>
    <x v="2"/>
    <n v="21"/>
    <n v="47"/>
    <n v="0.72"/>
    <n v="11"/>
    <n v="0.88"/>
    <x v="0"/>
  </r>
  <r>
    <s v="S424"/>
    <n v="424"/>
    <x v="3"/>
    <x v="2"/>
    <x v="1"/>
    <n v="2.96"/>
    <x v="2"/>
    <n v="79.099999999999994"/>
    <n v="0.97"/>
    <x v="2"/>
    <n v="7"/>
    <n v="15"/>
    <n v="0.53"/>
    <n v="7"/>
    <n v="0.88"/>
    <x v="1"/>
  </r>
  <r>
    <s v="S425"/>
    <n v="425"/>
    <x v="4"/>
    <x v="2"/>
    <x v="3"/>
    <n v="2.2400000000000002"/>
    <x v="3"/>
    <n v="75.599999999999994"/>
    <n v="0.96"/>
    <x v="0"/>
    <n v="26"/>
    <n v="77"/>
    <n v="0.9"/>
    <n v="2"/>
    <n v="0.81"/>
    <x v="0"/>
  </r>
  <r>
    <s v="S426"/>
    <n v="426"/>
    <x v="2"/>
    <x v="2"/>
    <x v="2"/>
    <n v="3.92"/>
    <x v="2"/>
    <n v="95.5"/>
    <n v="0.91"/>
    <x v="0"/>
    <n v="38"/>
    <n v="60"/>
    <n v="0.62"/>
    <n v="12"/>
    <n v="0.89"/>
    <x v="2"/>
  </r>
  <r>
    <s v="S427"/>
    <n v="427"/>
    <x v="7"/>
    <x v="0"/>
    <x v="3"/>
    <n v="3.43"/>
    <x v="3"/>
    <n v="95.8"/>
    <n v="0.61"/>
    <x v="0"/>
    <n v="18"/>
    <n v="44"/>
    <n v="0.73"/>
    <n v="18"/>
    <n v="0.67"/>
    <x v="0"/>
  </r>
  <r>
    <s v="S428"/>
    <n v="428"/>
    <x v="1"/>
    <x v="0"/>
    <x v="0"/>
    <n v="3.9"/>
    <x v="2"/>
    <n v="73.400000000000006"/>
    <n v="0.73"/>
    <x v="0"/>
    <n v="24"/>
    <n v="67"/>
    <n v="0.74"/>
    <n v="1"/>
    <n v="0.94"/>
    <x v="0"/>
  </r>
  <r>
    <s v="S429"/>
    <n v="429"/>
    <x v="7"/>
    <x v="2"/>
    <x v="0"/>
    <n v="2.4500000000000002"/>
    <x v="1"/>
    <n v="84.6"/>
    <n v="0.85"/>
    <x v="1"/>
    <n v="37"/>
    <n v="66"/>
    <n v="0.78"/>
    <n v="16"/>
    <n v="0.81"/>
    <x v="0"/>
  </r>
  <r>
    <s v="S430"/>
    <n v="430"/>
    <x v="1"/>
    <x v="2"/>
    <x v="3"/>
    <n v="3.76"/>
    <x v="3"/>
    <n v="97.1"/>
    <n v="0.71"/>
    <x v="1"/>
    <n v="20"/>
    <n v="82"/>
    <n v="0.91"/>
    <n v="15"/>
    <n v="0.91"/>
    <x v="0"/>
  </r>
  <r>
    <s v="S431"/>
    <n v="431"/>
    <x v="7"/>
    <x v="2"/>
    <x v="1"/>
    <n v="3.62"/>
    <x v="3"/>
    <n v="98.5"/>
    <n v="0.96"/>
    <x v="1"/>
    <n v="23"/>
    <n v="15"/>
    <n v="0.85"/>
    <n v="3"/>
    <n v="0.77"/>
    <x v="2"/>
  </r>
  <r>
    <s v="S432"/>
    <n v="432"/>
    <x v="6"/>
    <x v="0"/>
    <x v="0"/>
    <n v="3.35"/>
    <x v="0"/>
    <n v="80.400000000000006"/>
    <n v="0.85"/>
    <x v="2"/>
    <n v="23"/>
    <n v="22"/>
    <n v="0.83"/>
    <n v="17"/>
    <n v="0.61"/>
    <x v="2"/>
  </r>
  <r>
    <s v="S433"/>
    <n v="433"/>
    <x v="2"/>
    <x v="0"/>
    <x v="0"/>
    <n v="3.25"/>
    <x v="0"/>
    <n v="78.099999999999994"/>
    <n v="0.63"/>
    <x v="1"/>
    <n v="18"/>
    <n v="68"/>
    <n v="0.76"/>
    <n v="13"/>
    <n v="0.77"/>
    <x v="0"/>
  </r>
  <r>
    <s v="S434"/>
    <n v="434"/>
    <x v="4"/>
    <x v="1"/>
    <x v="1"/>
    <n v="2.63"/>
    <x v="2"/>
    <n v="71.099999999999994"/>
    <n v="0.96"/>
    <x v="2"/>
    <n v="1"/>
    <n v="39"/>
    <n v="0.55000000000000004"/>
    <n v="1"/>
    <n v="0.69"/>
    <x v="1"/>
  </r>
  <r>
    <s v="S435"/>
    <n v="435"/>
    <x v="1"/>
    <x v="1"/>
    <x v="1"/>
    <n v="3.63"/>
    <x v="3"/>
    <n v="98.4"/>
    <n v="0.98"/>
    <x v="0"/>
    <n v="13"/>
    <n v="11"/>
    <n v="0.7"/>
    <n v="12"/>
    <n v="0.85"/>
    <x v="2"/>
  </r>
  <r>
    <s v="S436"/>
    <n v="436"/>
    <x v="4"/>
    <x v="2"/>
    <x v="2"/>
    <n v="3"/>
    <x v="2"/>
    <n v="65.7"/>
    <n v="0.63"/>
    <x v="2"/>
    <n v="31"/>
    <n v="67"/>
    <n v="0.98"/>
    <n v="19"/>
    <n v="0.74"/>
    <x v="0"/>
  </r>
  <r>
    <s v="S437"/>
    <n v="437"/>
    <x v="4"/>
    <x v="0"/>
    <x v="1"/>
    <n v="2.14"/>
    <x v="1"/>
    <n v="83.2"/>
    <n v="0.81"/>
    <x v="2"/>
    <n v="31"/>
    <n v="45"/>
    <n v="1"/>
    <n v="16"/>
    <n v="0.92"/>
    <x v="0"/>
  </r>
  <r>
    <s v="S438"/>
    <n v="438"/>
    <x v="4"/>
    <x v="0"/>
    <x v="3"/>
    <n v="2.63"/>
    <x v="0"/>
    <n v="71.3"/>
    <n v="0.72"/>
    <x v="1"/>
    <n v="27"/>
    <n v="81"/>
    <n v="0.87"/>
    <n v="14"/>
    <n v="0.84"/>
    <x v="0"/>
  </r>
  <r>
    <s v="S439"/>
    <n v="439"/>
    <x v="0"/>
    <x v="0"/>
    <x v="3"/>
    <n v="3.87"/>
    <x v="2"/>
    <n v="71.2"/>
    <n v="0.76"/>
    <x v="0"/>
    <n v="38"/>
    <n v="54"/>
    <n v="0.61"/>
    <n v="19"/>
    <n v="0.84"/>
    <x v="1"/>
  </r>
  <r>
    <s v="S440"/>
    <n v="440"/>
    <x v="3"/>
    <x v="2"/>
    <x v="2"/>
    <n v="3.7"/>
    <x v="2"/>
    <n v="76.2"/>
    <n v="0.67"/>
    <x v="0"/>
    <n v="39"/>
    <n v="18"/>
    <n v="0.55000000000000004"/>
    <n v="4"/>
    <n v="0.61"/>
    <x v="0"/>
  </r>
  <r>
    <s v="S441"/>
    <n v="441"/>
    <x v="7"/>
    <x v="1"/>
    <x v="0"/>
    <n v="3.96"/>
    <x v="0"/>
    <n v="100"/>
    <n v="0.83"/>
    <x v="1"/>
    <n v="39"/>
    <n v="74"/>
    <n v="0.71"/>
    <n v="6"/>
    <n v="0.99"/>
    <x v="1"/>
  </r>
  <r>
    <s v="S442"/>
    <n v="442"/>
    <x v="4"/>
    <x v="2"/>
    <x v="0"/>
    <n v="3.26"/>
    <x v="3"/>
    <n v="62.2"/>
    <n v="0.98"/>
    <x v="0"/>
    <n v="12"/>
    <n v="86"/>
    <n v="0.93"/>
    <n v="17"/>
    <n v="0.92"/>
    <x v="2"/>
  </r>
  <r>
    <s v="S443"/>
    <n v="443"/>
    <x v="7"/>
    <x v="1"/>
    <x v="1"/>
    <n v="2.5"/>
    <x v="2"/>
    <n v="83.1"/>
    <n v="0.8"/>
    <x v="0"/>
    <n v="11"/>
    <n v="59"/>
    <n v="0.86"/>
    <n v="10"/>
    <n v="0.89"/>
    <x v="1"/>
  </r>
  <r>
    <s v="S444"/>
    <n v="444"/>
    <x v="4"/>
    <x v="1"/>
    <x v="3"/>
    <n v="2.33"/>
    <x v="0"/>
    <n v="63.3"/>
    <n v="0.63"/>
    <x v="0"/>
    <n v="7"/>
    <n v="88"/>
    <n v="0.94"/>
    <n v="17"/>
    <n v="0.67"/>
    <x v="0"/>
  </r>
  <r>
    <s v="S445"/>
    <n v="445"/>
    <x v="1"/>
    <x v="2"/>
    <x v="0"/>
    <n v="2.37"/>
    <x v="3"/>
    <n v="66.2"/>
    <n v="0.85"/>
    <x v="1"/>
    <n v="14"/>
    <n v="41"/>
    <n v="0.81"/>
    <n v="4"/>
    <n v="0.77"/>
    <x v="0"/>
  </r>
  <r>
    <s v="S446"/>
    <n v="446"/>
    <x v="3"/>
    <x v="1"/>
    <x v="2"/>
    <n v="2.04"/>
    <x v="1"/>
    <n v="77.599999999999994"/>
    <n v="0.74"/>
    <x v="0"/>
    <n v="25"/>
    <n v="52"/>
    <n v="0.56999999999999995"/>
    <n v="12"/>
    <n v="0.56999999999999995"/>
    <x v="0"/>
  </r>
  <r>
    <s v="S447"/>
    <n v="447"/>
    <x v="3"/>
    <x v="1"/>
    <x v="2"/>
    <n v="2.78"/>
    <x v="0"/>
    <n v="80.400000000000006"/>
    <n v="0.94"/>
    <x v="2"/>
    <n v="11"/>
    <n v="87"/>
    <n v="0.56000000000000005"/>
    <n v="17"/>
    <n v="0.77"/>
    <x v="1"/>
  </r>
  <r>
    <s v="S448"/>
    <n v="448"/>
    <x v="6"/>
    <x v="0"/>
    <x v="3"/>
    <n v="2.38"/>
    <x v="2"/>
    <n v="70.400000000000006"/>
    <n v="0.77"/>
    <x v="2"/>
    <n v="26"/>
    <n v="63"/>
    <n v="0.52"/>
    <n v="1"/>
    <n v="0.56999999999999995"/>
    <x v="0"/>
  </r>
  <r>
    <s v="S449"/>
    <n v="449"/>
    <x v="0"/>
    <x v="1"/>
    <x v="2"/>
    <n v="2.82"/>
    <x v="1"/>
    <n v="72.7"/>
    <n v="0.68"/>
    <x v="0"/>
    <n v="17"/>
    <n v="56"/>
    <n v="0.78"/>
    <n v="19"/>
    <n v="0.78"/>
    <x v="0"/>
  </r>
  <r>
    <s v="S450"/>
    <n v="450"/>
    <x v="6"/>
    <x v="2"/>
    <x v="2"/>
    <n v="3.87"/>
    <x v="3"/>
    <n v="63.5"/>
    <n v="0.68"/>
    <x v="1"/>
    <n v="35"/>
    <n v="23"/>
    <n v="0.62"/>
    <n v="3"/>
    <n v="0.82"/>
    <x v="0"/>
  </r>
  <r>
    <s v="S451"/>
    <n v="451"/>
    <x v="6"/>
    <x v="2"/>
    <x v="3"/>
    <n v="2.86"/>
    <x v="3"/>
    <n v="72.099999999999994"/>
    <n v="0.91"/>
    <x v="1"/>
    <n v="26"/>
    <n v="57"/>
    <n v="0.87"/>
    <n v="12"/>
    <n v="0.7"/>
    <x v="1"/>
  </r>
  <r>
    <s v="S452"/>
    <n v="452"/>
    <x v="6"/>
    <x v="1"/>
    <x v="1"/>
    <n v="3.76"/>
    <x v="0"/>
    <n v="98.7"/>
    <n v="0.71"/>
    <x v="1"/>
    <n v="8"/>
    <n v="64"/>
    <n v="0.84"/>
    <n v="15"/>
    <n v="0.75"/>
    <x v="0"/>
  </r>
  <r>
    <s v="S453"/>
    <n v="453"/>
    <x v="6"/>
    <x v="0"/>
    <x v="1"/>
    <n v="3.21"/>
    <x v="0"/>
    <n v="97.8"/>
    <n v="0.91"/>
    <x v="0"/>
    <n v="38"/>
    <n v="38"/>
    <n v="0.66"/>
    <n v="5"/>
    <n v="0.94"/>
    <x v="2"/>
  </r>
  <r>
    <s v="S454"/>
    <n v="454"/>
    <x v="6"/>
    <x v="0"/>
    <x v="2"/>
    <n v="2.4900000000000002"/>
    <x v="0"/>
    <n v="73.400000000000006"/>
    <n v="0.68"/>
    <x v="0"/>
    <n v="0"/>
    <n v="56"/>
    <n v="0.59"/>
    <n v="7"/>
    <n v="0.55000000000000004"/>
    <x v="0"/>
  </r>
  <r>
    <s v="S455"/>
    <n v="455"/>
    <x v="2"/>
    <x v="1"/>
    <x v="1"/>
    <n v="2.71"/>
    <x v="3"/>
    <n v="82.8"/>
    <n v="0.73"/>
    <x v="2"/>
    <n v="6"/>
    <n v="72"/>
    <n v="0.55000000000000004"/>
    <n v="15"/>
    <n v="0.9"/>
    <x v="0"/>
  </r>
  <r>
    <s v="S456"/>
    <n v="456"/>
    <x v="3"/>
    <x v="1"/>
    <x v="1"/>
    <n v="2.17"/>
    <x v="1"/>
    <n v="96.4"/>
    <n v="0.79"/>
    <x v="1"/>
    <n v="25"/>
    <n v="28"/>
    <n v="0.87"/>
    <n v="12"/>
    <n v="0.59"/>
    <x v="0"/>
  </r>
  <r>
    <s v="S457"/>
    <n v="457"/>
    <x v="6"/>
    <x v="2"/>
    <x v="2"/>
    <n v="2.67"/>
    <x v="3"/>
    <n v="60.2"/>
    <n v="0.98"/>
    <x v="2"/>
    <n v="6"/>
    <n v="18"/>
    <n v="0.73"/>
    <n v="3"/>
    <n v="0.52"/>
    <x v="1"/>
  </r>
  <r>
    <s v="S458"/>
    <n v="458"/>
    <x v="4"/>
    <x v="1"/>
    <x v="1"/>
    <n v="3.36"/>
    <x v="2"/>
    <n v="92.4"/>
    <n v="0.97"/>
    <x v="2"/>
    <n v="6"/>
    <n v="46"/>
    <n v="0.66"/>
    <n v="1"/>
    <n v="0.59"/>
    <x v="2"/>
  </r>
  <r>
    <s v="S459"/>
    <n v="459"/>
    <x v="3"/>
    <x v="0"/>
    <x v="2"/>
    <n v="2.14"/>
    <x v="3"/>
    <n v="97.9"/>
    <n v="0.68"/>
    <x v="1"/>
    <n v="7"/>
    <n v="61"/>
    <n v="0.93"/>
    <n v="8"/>
    <n v="0.88"/>
    <x v="0"/>
  </r>
  <r>
    <s v="S460"/>
    <n v="460"/>
    <x v="3"/>
    <x v="1"/>
    <x v="0"/>
    <n v="2.41"/>
    <x v="2"/>
    <n v="63.7"/>
    <n v="0.74"/>
    <x v="0"/>
    <n v="15"/>
    <n v="66"/>
    <n v="0.8"/>
    <n v="17"/>
    <n v="0.7"/>
    <x v="0"/>
  </r>
  <r>
    <s v="S461"/>
    <n v="461"/>
    <x v="5"/>
    <x v="2"/>
    <x v="3"/>
    <n v="2.76"/>
    <x v="1"/>
    <n v="66.5"/>
    <n v="0.66"/>
    <x v="0"/>
    <n v="2"/>
    <n v="37"/>
    <n v="0.76"/>
    <n v="16"/>
    <n v="0.94"/>
    <x v="0"/>
  </r>
  <r>
    <s v="S462"/>
    <n v="462"/>
    <x v="2"/>
    <x v="2"/>
    <x v="3"/>
    <n v="3.96"/>
    <x v="0"/>
    <n v="98.4"/>
    <n v="0.8"/>
    <x v="2"/>
    <n v="9"/>
    <n v="45"/>
    <n v="0.87"/>
    <n v="7"/>
    <n v="0.76"/>
    <x v="1"/>
  </r>
  <r>
    <s v="S463"/>
    <n v="463"/>
    <x v="6"/>
    <x v="2"/>
    <x v="1"/>
    <n v="3.57"/>
    <x v="0"/>
    <n v="81.5"/>
    <n v="0.78"/>
    <x v="2"/>
    <n v="6"/>
    <n v="73"/>
    <n v="0.91"/>
    <n v="14"/>
    <n v="0.51"/>
    <x v="1"/>
  </r>
  <r>
    <s v="S464"/>
    <n v="464"/>
    <x v="7"/>
    <x v="2"/>
    <x v="1"/>
    <n v="3.47"/>
    <x v="3"/>
    <n v="60.6"/>
    <n v="0.96"/>
    <x v="2"/>
    <n v="20"/>
    <n v="27"/>
    <n v="0.84"/>
    <n v="8"/>
    <n v="0.86"/>
    <x v="2"/>
  </r>
  <r>
    <s v="S465"/>
    <n v="465"/>
    <x v="1"/>
    <x v="2"/>
    <x v="1"/>
    <n v="2.23"/>
    <x v="0"/>
    <n v="70.3"/>
    <n v="0.97"/>
    <x v="2"/>
    <n v="36"/>
    <n v="44"/>
    <n v="0.72"/>
    <n v="16"/>
    <n v="0.56000000000000005"/>
    <x v="0"/>
  </r>
  <r>
    <s v="S466"/>
    <n v="466"/>
    <x v="0"/>
    <x v="1"/>
    <x v="3"/>
    <n v="3.56"/>
    <x v="1"/>
    <n v="78"/>
    <n v="0.75"/>
    <x v="1"/>
    <n v="30"/>
    <n v="77"/>
    <n v="0.69"/>
    <n v="1"/>
    <n v="0.89"/>
    <x v="1"/>
  </r>
  <r>
    <s v="S467"/>
    <n v="467"/>
    <x v="4"/>
    <x v="1"/>
    <x v="0"/>
    <n v="3.57"/>
    <x v="0"/>
    <n v="87.7"/>
    <n v="0.8"/>
    <x v="2"/>
    <n v="22"/>
    <n v="87"/>
    <n v="0.89"/>
    <n v="5"/>
    <n v="0.57999999999999996"/>
    <x v="1"/>
  </r>
  <r>
    <s v="S468"/>
    <n v="468"/>
    <x v="7"/>
    <x v="1"/>
    <x v="0"/>
    <n v="3.2"/>
    <x v="3"/>
    <n v="89.3"/>
    <n v="0.96"/>
    <x v="2"/>
    <n v="26"/>
    <n v="48"/>
    <n v="0.76"/>
    <n v="4"/>
    <n v="0.67"/>
    <x v="2"/>
  </r>
  <r>
    <s v="S469"/>
    <n v="469"/>
    <x v="2"/>
    <x v="1"/>
    <x v="3"/>
    <n v="3.98"/>
    <x v="1"/>
    <n v="99.8"/>
    <n v="0.92"/>
    <x v="0"/>
    <n v="21"/>
    <n v="17"/>
    <n v="0.85"/>
    <n v="16"/>
    <n v="0.88"/>
    <x v="2"/>
  </r>
  <r>
    <s v="S470"/>
    <n v="470"/>
    <x v="1"/>
    <x v="2"/>
    <x v="0"/>
    <n v="2.65"/>
    <x v="2"/>
    <n v="71.5"/>
    <n v="0.6"/>
    <x v="0"/>
    <n v="38"/>
    <n v="89"/>
    <n v="0.95"/>
    <n v="1"/>
    <n v="0.98"/>
    <x v="0"/>
  </r>
  <r>
    <s v="S471"/>
    <n v="471"/>
    <x v="2"/>
    <x v="0"/>
    <x v="3"/>
    <n v="3.88"/>
    <x v="3"/>
    <n v="81.5"/>
    <n v="0.73"/>
    <x v="0"/>
    <n v="26"/>
    <n v="24"/>
    <n v="0.96"/>
    <n v="17"/>
    <n v="0.69"/>
    <x v="0"/>
  </r>
  <r>
    <s v="S472"/>
    <n v="472"/>
    <x v="4"/>
    <x v="1"/>
    <x v="0"/>
    <n v="3.83"/>
    <x v="2"/>
    <n v="81.3"/>
    <n v="0.77"/>
    <x v="1"/>
    <n v="3"/>
    <n v="16"/>
    <n v="0.64"/>
    <n v="9"/>
    <n v="0.91"/>
    <x v="1"/>
  </r>
  <r>
    <s v="S473"/>
    <n v="473"/>
    <x v="3"/>
    <x v="0"/>
    <x v="2"/>
    <n v="2.02"/>
    <x v="1"/>
    <n v="76.2"/>
    <n v="0.69"/>
    <x v="1"/>
    <n v="23"/>
    <n v="26"/>
    <n v="0.59"/>
    <n v="9"/>
    <n v="0.6"/>
    <x v="0"/>
  </r>
  <r>
    <s v="S474"/>
    <n v="474"/>
    <x v="1"/>
    <x v="1"/>
    <x v="2"/>
    <n v="2.9"/>
    <x v="3"/>
    <n v="66.8"/>
    <n v="0.68"/>
    <x v="0"/>
    <n v="22"/>
    <n v="73"/>
    <n v="0.63"/>
    <n v="5"/>
    <n v="0.9"/>
    <x v="0"/>
  </r>
  <r>
    <s v="S475"/>
    <n v="475"/>
    <x v="3"/>
    <x v="1"/>
    <x v="3"/>
    <n v="3.95"/>
    <x v="3"/>
    <n v="99.1"/>
    <n v="0.62"/>
    <x v="0"/>
    <n v="18"/>
    <n v="21"/>
    <n v="0.88"/>
    <n v="11"/>
    <n v="0.83"/>
    <x v="0"/>
  </r>
  <r>
    <s v="S476"/>
    <n v="476"/>
    <x v="4"/>
    <x v="0"/>
    <x v="0"/>
    <n v="2.21"/>
    <x v="1"/>
    <n v="94.1"/>
    <n v="0.86"/>
    <x v="2"/>
    <n v="2"/>
    <n v="65"/>
    <n v="0.69"/>
    <n v="16"/>
    <n v="0.6"/>
    <x v="0"/>
  </r>
  <r>
    <s v="S477"/>
    <n v="477"/>
    <x v="7"/>
    <x v="2"/>
    <x v="1"/>
    <n v="3.1"/>
    <x v="0"/>
    <n v="79.900000000000006"/>
    <n v="0.71"/>
    <x v="2"/>
    <n v="26"/>
    <n v="55"/>
    <n v="0.59"/>
    <n v="12"/>
    <n v="0.65"/>
    <x v="0"/>
  </r>
  <r>
    <s v="S478"/>
    <n v="478"/>
    <x v="4"/>
    <x v="1"/>
    <x v="0"/>
    <n v="3.96"/>
    <x v="3"/>
    <n v="84.1"/>
    <n v="0.62"/>
    <x v="1"/>
    <n v="2"/>
    <n v="56"/>
    <n v="0.55000000000000004"/>
    <n v="19"/>
    <n v="0.56999999999999995"/>
    <x v="0"/>
  </r>
  <r>
    <s v="S479"/>
    <n v="479"/>
    <x v="7"/>
    <x v="1"/>
    <x v="2"/>
    <n v="3.11"/>
    <x v="3"/>
    <n v="69.099999999999994"/>
    <n v="0.69"/>
    <x v="1"/>
    <n v="27"/>
    <n v="88"/>
    <n v="0.66"/>
    <n v="15"/>
    <n v="0.69"/>
    <x v="0"/>
  </r>
  <r>
    <s v="S480"/>
    <n v="480"/>
    <x v="1"/>
    <x v="1"/>
    <x v="2"/>
    <n v="2.38"/>
    <x v="2"/>
    <n v="81.8"/>
    <n v="0.92"/>
    <x v="2"/>
    <n v="16"/>
    <n v="25"/>
    <n v="0.56999999999999995"/>
    <n v="9"/>
    <n v="0.6"/>
    <x v="0"/>
  </r>
  <r>
    <s v="S481"/>
    <n v="481"/>
    <x v="1"/>
    <x v="0"/>
    <x v="0"/>
    <n v="3.16"/>
    <x v="0"/>
    <n v="87.8"/>
    <n v="0.94"/>
    <x v="0"/>
    <n v="30"/>
    <n v="78"/>
    <n v="0.57999999999999996"/>
    <n v="1"/>
    <n v="0.82"/>
    <x v="2"/>
  </r>
  <r>
    <s v="S482"/>
    <n v="482"/>
    <x v="6"/>
    <x v="2"/>
    <x v="0"/>
    <n v="2.41"/>
    <x v="2"/>
    <n v="80.599999999999994"/>
    <n v="0.79"/>
    <x v="2"/>
    <n v="9"/>
    <n v="11"/>
    <n v="0.84"/>
    <n v="1"/>
    <n v="1"/>
    <x v="0"/>
  </r>
  <r>
    <s v="S483"/>
    <n v="483"/>
    <x v="2"/>
    <x v="0"/>
    <x v="1"/>
    <n v="3.04"/>
    <x v="2"/>
    <n v="99.6"/>
    <n v="0.77"/>
    <x v="1"/>
    <n v="21"/>
    <n v="63"/>
    <n v="0.51"/>
    <n v="6"/>
    <n v="0.51"/>
    <x v="1"/>
  </r>
  <r>
    <s v="S484"/>
    <n v="484"/>
    <x v="6"/>
    <x v="0"/>
    <x v="1"/>
    <n v="2.15"/>
    <x v="0"/>
    <n v="84.5"/>
    <n v="0.99"/>
    <x v="1"/>
    <n v="29"/>
    <n v="36"/>
    <n v="0.56000000000000005"/>
    <n v="5"/>
    <n v="0.77"/>
    <x v="0"/>
  </r>
  <r>
    <s v="S485"/>
    <n v="485"/>
    <x v="2"/>
    <x v="2"/>
    <x v="0"/>
    <n v="3.21"/>
    <x v="0"/>
    <n v="74.8"/>
    <n v="0.68"/>
    <x v="2"/>
    <n v="20"/>
    <n v="40"/>
    <n v="0.92"/>
    <n v="0"/>
    <n v="0.79"/>
    <x v="0"/>
  </r>
  <r>
    <s v="S486"/>
    <n v="486"/>
    <x v="6"/>
    <x v="0"/>
    <x v="0"/>
    <n v="3.03"/>
    <x v="1"/>
    <n v="90.9"/>
    <n v="0.69"/>
    <x v="2"/>
    <n v="35"/>
    <n v="50"/>
    <n v="0.92"/>
    <n v="11"/>
    <n v="0.96"/>
    <x v="0"/>
  </r>
  <r>
    <s v="S487"/>
    <n v="487"/>
    <x v="3"/>
    <x v="2"/>
    <x v="0"/>
    <n v="3.48"/>
    <x v="0"/>
    <n v="66.8"/>
    <n v="0.72"/>
    <x v="2"/>
    <n v="22"/>
    <n v="45"/>
    <n v="0.66"/>
    <n v="12"/>
    <n v="0.75"/>
    <x v="0"/>
  </r>
  <r>
    <s v="S488"/>
    <n v="488"/>
    <x v="1"/>
    <x v="1"/>
    <x v="0"/>
    <n v="3.26"/>
    <x v="3"/>
    <n v="75.400000000000006"/>
    <n v="0.67"/>
    <x v="1"/>
    <n v="37"/>
    <n v="56"/>
    <n v="0.54"/>
    <n v="11"/>
    <n v="0.77"/>
    <x v="0"/>
  </r>
  <r>
    <s v="S489"/>
    <n v="489"/>
    <x v="7"/>
    <x v="2"/>
    <x v="3"/>
    <n v="3.1"/>
    <x v="0"/>
    <n v="73.900000000000006"/>
    <n v="0.75"/>
    <x v="0"/>
    <n v="11"/>
    <n v="52"/>
    <n v="0.85"/>
    <n v="18"/>
    <n v="0.74"/>
    <x v="1"/>
  </r>
  <r>
    <s v="S490"/>
    <n v="490"/>
    <x v="2"/>
    <x v="1"/>
    <x v="0"/>
    <n v="3.38"/>
    <x v="1"/>
    <n v="77.3"/>
    <n v="0.96"/>
    <x v="2"/>
    <n v="24"/>
    <n v="74"/>
    <n v="0.68"/>
    <n v="8"/>
    <n v="0.63"/>
    <x v="2"/>
  </r>
  <r>
    <s v="S491"/>
    <n v="491"/>
    <x v="4"/>
    <x v="0"/>
    <x v="1"/>
    <n v="2.29"/>
    <x v="1"/>
    <n v="91.3"/>
    <n v="0.85"/>
    <x v="1"/>
    <n v="19"/>
    <n v="59"/>
    <n v="0.52"/>
    <n v="9"/>
    <n v="0.53"/>
    <x v="0"/>
  </r>
  <r>
    <s v="S492"/>
    <n v="492"/>
    <x v="2"/>
    <x v="0"/>
    <x v="2"/>
    <n v="3.19"/>
    <x v="1"/>
    <n v="79.400000000000006"/>
    <n v="0.76"/>
    <x v="1"/>
    <n v="6"/>
    <n v="10"/>
    <n v="0.57999999999999996"/>
    <n v="16"/>
    <n v="0.7"/>
    <x v="1"/>
  </r>
  <r>
    <s v="S493"/>
    <n v="493"/>
    <x v="7"/>
    <x v="1"/>
    <x v="3"/>
    <n v="2.34"/>
    <x v="0"/>
    <n v="91.8"/>
    <n v="0.97"/>
    <x v="1"/>
    <n v="28"/>
    <n v="81"/>
    <n v="0.56999999999999995"/>
    <n v="17"/>
    <n v="0.53"/>
    <x v="0"/>
  </r>
  <r>
    <s v="S494"/>
    <n v="494"/>
    <x v="6"/>
    <x v="0"/>
    <x v="0"/>
    <n v="3.85"/>
    <x v="0"/>
    <n v="83.1"/>
    <n v="0.62"/>
    <x v="2"/>
    <n v="28"/>
    <n v="66"/>
    <n v="0.79"/>
    <n v="7"/>
    <n v="0.78"/>
    <x v="0"/>
  </r>
  <r>
    <s v="S495"/>
    <n v="495"/>
    <x v="2"/>
    <x v="2"/>
    <x v="2"/>
    <n v="2.14"/>
    <x v="2"/>
    <n v="73.7"/>
    <n v="0.68"/>
    <x v="2"/>
    <n v="12"/>
    <n v="25"/>
    <n v="0.95"/>
    <n v="6"/>
    <n v="0.65"/>
    <x v="0"/>
  </r>
  <r>
    <s v="S496"/>
    <n v="496"/>
    <x v="0"/>
    <x v="1"/>
    <x v="3"/>
    <n v="2.86"/>
    <x v="2"/>
    <n v="92.4"/>
    <n v="0.83"/>
    <x v="0"/>
    <n v="2"/>
    <n v="37"/>
    <n v="0.9"/>
    <n v="8"/>
    <n v="0.77"/>
    <x v="1"/>
  </r>
  <r>
    <s v="S497"/>
    <n v="497"/>
    <x v="3"/>
    <x v="0"/>
    <x v="2"/>
    <n v="3.39"/>
    <x v="3"/>
    <n v="69.5"/>
    <n v="0.85"/>
    <x v="1"/>
    <n v="1"/>
    <n v="31"/>
    <n v="0.77"/>
    <n v="9"/>
    <n v="0.56999999999999995"/>
    <x v="2"/>
  </r>
  <r>
    <s v="S498"/>
    <n v="498"/>
    <x v="1"/>
    <x v="1"/>
    <x v="0"/>
    <n v="2.92"/>
    <x v="2"/>
    <n v="69"/>
    <n v="0.62"/>
    <x v="2"/>
    <n v="15"/>
    <n v="50"/>
    <n v="0.71"/>
    <n v="11"/>
    <n v="0.97"/>
    <x v="0"/>
  </r>
  <r>
    <s v="S499"/>
    <n v="499"/>
    <x v="7"/>
    <x v="2"/>
    <x v="0"/>
    <n v="2.1800000000000002"/>
    <x v="3"/>
    <n v="80.2"/>
    <n v="0.76"/>
    <x v="1"/>
    <n v="29"/>
    <n v="85"/>
    <n v="0.81"/>
    <n v="14"/>
    <n v="0.95"/>
    <x v="0"/>
  </r>
  <r>
    <s v="S500"/>
    <n v="500"/>
    <x v="1"/>
    <x v="2"/>
    <x v="1"/>
    <n v="3.11"/>
    <x v="1"/>
    <n v="70.400000000000006"/>
    <n v="0.86"/>
    <x v="1"/>
    <n v="37"/>
    <n v="28"/>
    <n v="0.72"/>
    <n v="14"/>
    <n v="0.59"/>
    <x v="2"/>
  </r>
  <r>
    <s v="S501"/>
    <n v="501"/>
    <x v="0"/>
    <x v="0"/>
    <x v="0"/>
    <n v="3.28"/>
    <x v="2"/>
    <n v="60.4"/>
    <n v="0.88"/>
    <x v="0"/>
    <n v="5"/>
    <n v="59"/>
    <n v="0.62"/>
    <n v="3"/>
    <n v="0.67"/>
    <x v="2"/>
  </r>
  <r>
    <s v="S502"/>
    <n v="502"/>
    <x v="2"/>
    <x v="2"/>
    <x v="0"/>
    <n v="3.41"/>
    <x v="0"/>
    <n v="85.9"/>
    <n v="0.86"/>
    <x v="2"/>
    <n v="6"/>
    <n v="68"/>
    <n v="0.84"/>
    <n v="3"/>
    <n v="0.81"/>
    <x v="2"/>
  </r>
  <r>
    <s v="S503"/>
    <n v="503"/>
    <x v="2"/>
    <x v="1"/>
    <x v="3"/>
    <n v="2.75"/>
    <x v="2"/>
    <n v="80.400000000000006"/>
    <n v="0.73"/>
    <x v="2"/>
    <n v="4"/>
    <n v="78"/>
    <n v="0.94"/>
    <n v="0"/>
    <n v="0.55000000000000004"/>
    <x v="0"/>
  </r>
  <r>
    <s v="S504"/>
    <n v="504"/>
    <x v="4"/>
    <x v="2"/>
    <x v="1"/>
    <n v="3.13"/>
    <x v="3"/>
    <n v="77.8"/>
    <n v="0.64"/>
    <x v="1"/>
    <n v="6"/>
    <n v="43"/>
    <n v="0.69"/>
    <n v="11"/>
    <n v="0.68"/>
    <x v="0"/>
  </r>
  <r>
    <s v="S505"/>
    <n v="505"/>
    <x v="0"/>
    <x v="1"/>
    <x v="3"/>
    <n v="2.9"/>
    <x v="2"/>
    <n v="98.7"/>
    <n v="0.77"/>
    <x v="1"/>
    <n v="33"/>
    <n v="48"/>
    <n v="0.92"/>
    <n v="1"/>
    <n v="0.63"/>
    <x v="1"/>
  </r>
  <r>
    <s v="S506"/>
    <n v="506"/>
    <x v="7"/>
    <x v="1"/>
    <x v="2"/>
    <n v="3.34"/>
    <x v="1"/>
    <n v="82.8"/>
    <n v="0.65"/>
    <x v="0"/>
    <n v="31"/>
    <n v="83"/>
    <n v="0.72"/>
    <n v="14"/>
    <n v="0.96"/>
    <x v="0"/>
  </r>
  <r>
    <s v="S507"/>
    <n v="507"/>
    <x v="4"/>
    <x v="2"/>
    <x v="0"/>
    <n v="3.17"/>
    <x v="0"/>
    <n v="94.5"/>
    <n v="0.98"/>
    <x v="0"/>
    <n v="12"/>
    <n v="16"/>
    <n v="0.7"/>
    <n v="16"/>
    <n v="0.93"/>
    <x v="2"/>
  </r>
  <r>
    <s v="S508"/>
    <n v="508"/>
    <x v="3"/>
    <x v="0"/>
    <x v="2"/>
    <n v="3.05"/>
    <x v="3"/>
    <n v="65.599999999999994"/>
    <n v="0.79"/>
    <x v="0"/>
    <n v="29"/>
    <n v="61"/>
    <n v="0.51"/>
    <n v="6"/>
    <n v="0.79"/>
    <x v="1"/>
  </r>
  <r>
    <s v="S509"/>
    <n v="509"/>
    <x v="4"/>
    <x v="2"/>
    <x v="3"/>
    <n v="2.5"/>
    <x v="0"/>
    <n v="82.8"/>
    <n v="0.73"/>
    <x v="0"/>
    <n v="24"/>
    <n v="69"/>
    <n v="0.85"/>
    <n v="5"/>
    <n v="0.76"/>
    <x v="0"/>
  </r>
  <r>
    <s v="S510"/>
    <n v="510"/>
    <x v="5"/>
    <x v="1"/>
    <x v="0"/>
    <n v="2"/>
    <x v="0"/>
    <n v="94.7"/>
    <n v="0.91"/>
    <x v="0"/>
    <n v="20"/>
    <n v="61"/>
    <n v="0.9"/>
    <n v="11"/>
    <n v="0.97"/>
    <x v="0"/>
  </r>
  <r>
    <s v="S511"/>
    <n v="511"/>
    <x v="7"/>
    <x v="1"/>
    <x v="0"/>
    <n v="2.35"/>
    <x v="3"/>
    <n v="83.3"/>
    <n v="0.8"/>
    <x v="0"/>
    <n v="20"/>
    <n v="88"/>
    <n v="0.83"/>
    <n v="18"/>
    <n v="0.97"/>
    <x v="0"/>
  </r>
  <r>
    <s v="S512"/>
    <n v="512"/>
    <x v="5"/>
    <x v="2"/>
    <x v="3"/>
    <n v="2.23"/>
    <x v="0"/>
    <n v="88.7"/>
    <n v="0.72"/>
    <x v="1"/>
    <n v="27"/>
    <n v="33"/>
    <n v="0.57999999999999996"/>
    <n v="0"/>
    <n v="0.98"/>
    <x v="0"/>
  </r>
  <r>
    <s v="S513"/>
    <n v="513"/>
    <x v="0"/>
    <x v="0"/>
    <x v="3"/>
    <n v="2.9"/>
    <x v="0"/>
    <n v="74.900000000000006"/>
    <n v="0.92"/>
    <x v="0"/>
    <n v="19"/>
    <n v="35"/>
    <n v="0.55000000000000004"/>
    <n v="13"/>
    <n v="0.56000000000000005"/>
    <x v="1"/>
  </r>
  <r>
    <s v="S514"/>
    <n v="514"/>
    <x v="6"/>
    <x v="0"/>
    <x v="3"/>
    <n v="3.22"/>
    <x v="2"/>
    <n v="63.7"/>
    <n v="0.95"/>
    <x v="1"/>
    <n v="33"/>
    <n v="19"/>
    <n v="0.79"/>
    <n v="3"/>
    <n v="0.57999999999999996"/>
    <x v="2"/>
  </r>
  <r>
    <s v="S515"/>
    <n v="515"/>
    <x v="5"/>
    <x v="1"/>
    <x v="3"/>
    <n v="2.4300000000000002"/>
    <x v="0"/>
    <n v="78.3"/>
    <n v="0.87"/>
    <x v="1"/>
    <n v="4"/>
    <n v="26"/>
    <n v="0.7"/>
    <n v="4"/>
    <n v="0.84"/>
    <x v="0"/>
  </r>
  <r>
    <s v="S516"/>
    <n v="516"/>
    <x v="3"/>
    <x v="1"/>
    <x v="3"/>
    <n v="3.88"/>
    <x v="0"/>
    <n v="75.8"/>
    <n v="0.62"/>
    <x v="2"/>
    <n v="17"/>
    <n v="87"/>
    <n v="0.71"/>
    <n v="0"/>
    <n v="0.77"/>
    <x v="0"/>
  </r>
  <r>
    <s v="S517"/>
    <n v="517"/>
    <x v="4"/>
    <x v="0"/>
    <x v="0"/>
    <n v="2.0099999999999998"/>
    <x v="0"/>
    <n v="94.7"/>
    <n v="0.83"/>
    <x v="1"/>
    <n v="38"/>
    <n v="11"/>
    <n v="0.98"/>
    <n v="0"/>
    <n v="0.51"/>
    <x v="0"/>
  </r>
  <r>
    <s v="S518"/>
    <n v="518"/>
    <x v="6"/>
    <x v="2"/>
    <x v="3"/>
    <n v="3.54"/>
    <x v="0"/>
    <n v="69.8"/>
    <n v="0.91"/>
    <x v="1"/>
    <n v="10"/>
    <n v="86"/>
    <n v="0.86"/>
    <n v="5"/>
    <n v="0.53"/>
    <x v="2"/>
  </r>
  <r>
    <s v="S519"/>
    <n v="519"/>
    <x v="4"/>
    <x v="1"/>
    <x v="0"/>
    <n v="3.25"/>
    <x v="3"/>
    <n v="98.7"/>
    <n v="0.65"/>
    <x v="0"/>
    <n v="16"/>
    <n v="36"/>
    <n v="0.71"/>
    <n v="4"/>
    <n v="0.94"/>
    <x v="0"/>
  </r>
  <r>
    <s v="S520"/>
    <n v="520"/>
    <x v="5"/>
    <x v="1"/>
    <x v="0"/>
    <n v="2.75"/>
    <x v="1"/>
    <n v="98.3"/>
    <n v="0.69"/>
    <x v="1"/>
    <n v="21"/>
    <n v="82"/>
    <n v="0.51"/>
    <n v="1"/>
    <n v="0.93"/>
    <x v="0"/>
  </r>
  <r>
    <s v="S521"/>
    <n v="521"/>
    <x v="4"/>
    <x v="0"/>
    <x v="3"/>
    <n v="2.1"/>
    <x v="2"/>
    <n v="69.900000000000006"/>
    <n v="0.95"/>
    <x v="0"/>
    <n v="36"/>
    <n v="80"/>
    <n v="0.52"/>
    <n v="4"/>
    <n v="0.68"/>
    <x v="0"/>
  </r>
  <r>
    <s v="S522"/>
    <n v="522"/>
    <x v="0"/>
    <x v="2"/>
    <x v="3"/>
    <n v="3.25"/>
    <x v="0"/>
    <n v="73.900000000000006"/>
    <n v="0.61"/>
    <x v="0"/>
    <n v="19"/>
    <n v="57"/>
    <n v="0.84"/>
    <n v="8"/>
    <n v="0.95"/>
    <x v="0"/>
  </r>
  <r>
    <s v="S523"/>
    <n v="523"/>
    <x v="6"/>
    <x v="0"/>
    <x v="1"/>
    <n v="2.77"/>
    <x v="0"/>
    <n v="95.8"/>
    <n v="0.9"/>
    <x v="0"/>
    <n v="5"/>
    <n v="83"/>
    <n v="0.92"/>
    <n v="18"/>
    <n v="0.8"/>
    <x v="1"/>
  </r>
  <r>
    <s v="S524"/>
    <n v="524"/>
    <x v="0"/>
    <x v="2"/>
    <x v="0"/>
    <n v="3.87"/>
    <x v="3"/>
    <n v="98.7"/>
    <n v="0.79"/>
    <x v="2"/>
    <n v="33"/>
    <n v="18"/>
    <n v="0.85"/>
    <n v="14"/>
    <n v="0.9"/>
    <x v="1"/>
  </r>
  <r>
    <s v="S525"/>
    <n v="525"/>
    <x v="5"/>
    <x v="2"/>
    <x v="3"/>
    <n v="3.08"/>
    <x v="1"/>
    <n v="77.7"/>
    <n v="0.78"/>
    <x v="0"/>
    <n v="13"/>
    <n v="32"/>
    <n v="0.7"/>
    <n v="12"/>
    <n v="0.71"/>
    <x v="1"/>
  </r>
  <r>
    <s v="S526"/>
    <n v="526"/>
    <x v="0"/>
    <x v="2"/>
    <x v="3"/>
    <n v="3.88"/>
    <x v="0"/>
    <n v="72.8"/>
    <n v="0.6"/>
    <x v="1"/>
    <n v="22"/>
    <n v="80"/>
    <n v="0.52"/>
    <n v="11"/>
    <n v="0.56000000000000005"/>
    <x v="0"/>
  </r>
  <r>
    <s v="S527"/>
    <n v="527"/>
    <x v="3"/>
    <x v="1"/>
    <x v="3"/>
    <n v="2.44"/>
    <x v="3"/>
    <n v="81"/>
    <n v="0.93"/>
    <x v="0"/>
    <n v="19"/>
    <n v="82"/>
    <n v="0.98"/>
    <n v="4"/>
    <n v="0.72"/>
    <x v="0"/>
  </r>
  <r>
    <s v="S528"/>
    <n v="528"/>
    <x v="5"/>
    <x v="0"/>
    <x v="1"/>
    <n v="3.45"/>
    <x v="2"/>
    <n v="87.5"/>
    <n v="0.74"/>
    <x v="0"/>
    <n v="12"/>
    <n v="36"/>
    <n v="0.99"/>
    <n v="1"/>
    <n v="0.73"/>
    <x v="0"/>
  </r>
  <r>
    <s v="S529"/>
    <n v="529"/>
    <x v="5"/>
    <x v="0"/>
    <x v="1"/>
    <n v="3.23"/>
    <x v="2"/>
    <n v="70.900000000000006"/>
    <n v="0.82"/>
    <x v="0"/>
    <n v="31"/>
    <n v="80"/>
    <n v="0.77"/>
    <n v="3"/>
    <n v="0.78"/>
    <x v="1"/>
  </r>
  <r>
    <s v="S530"/>
    <n v="530"/>
    <x v="5"/>
    <x v="2"/>
    <x v="2"/>
    <n v="3.48"/>
    <x v="0"/>
    <n v="89.5"/>
    <n v="0.87"/>
    <x v="2"/>
    <n v="25"/>
    <n v="52"/>
    <n v="0.54"/>
    <n v="17"/>
    <n v="0.55000000000000004"/>
    <x v="2"/>
  </r>
  <r>
    <s v="S531"/>
    <n v="531"/>
    <x v="7"/>
    <x v="1"/>
    <x v="0"/>
    <n v="2.4300000000000002"/>
    <x v="0"/>
    <n v="62.1"/>
    <n v="0.88"/>
    <x v="1"/>
    <n v="13"/>
    <n v="16"/>
    <n v="0.77"/>
    <n v="9"/>
    <n v="1"/>
    <x v="0"/>
  </r>
  <r>
    <s v="S532"/>
    <n v="532"/>
    <x v="4"/>
    <x v="1"/>
    <x v="2"/>
    <n v="3.33"/>
    <x v="1"/>
    <n v="62"/>
    <n v="0.98"/>
    <x v="2"/>
    <n v="35"/>
    <n v="72"/>
    <n v="0.95"/>
    <n v="12"/>
    <n v="0.62"/>
    <x v="2"/>
  </r>
  <r>
    <s v="S533"/>
    <n v="533"/>
    <x v="7"/>
    <x v="0"/>
    <x v="3"/>
    <n v="3"/>
    <x v="1"/>
    <n v="75.5"/>
    <n v="0.81"/>
    <x v="1"/>
    <n v="7"/>
    <n v="53"/>
    <n v="0.84"/>
    <n v="11"/>
    <n v="0.6"/>
    <x v="1"/>
  </r>
  <r>
    <s v="S534"/>
    <n v="534"/>
    <x v="7"/>
    <x v="1"/>
    <x v="1"/>
    <n v="3.49"/>
    <x v="0"/>
    <n v="74.099999999999994"/>
    <n v="0.76"/>
    <x v="2"/>
    <n v="39"/>
    <n v="48"/>
    <n v="0.86"/>
    <n v="1"/>
    <n v="0.76"/>
    <x v="1"/>
  </r>
  <r>
    <s v="S535"/>
    <n v="535"/>
    <x v="3"/>
    <x v="1"/>
    <x v="1"/>
    <n v="2.65"/>
    <x v="3"/>
    <n v="72.599999999999994"/>
    <n v="0.98"/>
    <x v="1"/>
    <n v="21"/>
    <n v="49"/>
    <n v="0.54"/>
    <n v="14"/>
    <n v="0.77"/>
    <x v="1"/>
  </r>
  <r>
    <s v="S536"/>
    <n v="536"/>
    <x v="6"/>
    <x v="2"/>
    <x v="2"/>
    <n v="3.78"/>
    <x v="1"/>
    <n v="79.599999999999994"/>
    <n v="0.86"/>
    <x v="2"/>
    <n v="21"/>
    <n v="16"/>
    <n v="0.55000000000000004"/>
    <n v="13"/>
    <n v="0.72"/>
    <x v="2"/>
  </r>
  <r>
    <s v="S537"/>
    <n v="537"/>
    <x v="4"/>
    <x v="1"/>
    <x v="1"/>
    <n v="2.17"/>
    <x v="0"/>
    <n v="72.8"/>
    <n v="0.72"/>
    <x v="0"/>
    <n v="15"/>
    <n v="79"/>
    <n v="0.56000000000000005"/>
    <n v="9"/>
    <n v="0.89"/>
    <x v="0"/>
  </r>
  <r>
    <s v="S538"/>
    <n v="538"/>
    <x v="0"/>
    <x v="2"/>
    <x v="3"/>
    <n v="3.61"/>
    <x v="1"/>
    <n v="67.7"/>
    <n v="0.65"/>
    <x v="2"/>
    <n v="26"/>
    <n v="34"/>
    <n v="0.95"/>
    <n v="7"/>
    <n v="0.76"/>
    <x v="0"/>
  </r>
  <r>
    <s v="S539"/>
    <n v="539"/>
    <x v="2"/>
    <x v="0"/>
    <x v="1"/>
    <n v="3.72"/>
    <x v="0"/>
    <n v="72.400000000000006"/>
    <n v="0.94"/>
    <x v="2"/>
    <n v="9"/>
    <n v="68"/>
    <n v="0.76"/>
    <n v="14"/>
    <n v="0.8"/>
    <x v="2"/>
  </r>
  <r>
    <s v="S540"/>
    <n v="540"/>
    <x v="5"/>
    <x v="1"/>
    <x v="2"/>
    <n v="3.63"/>
    <x v="2"/>
    <n v="99"/>
    <n v="0.74"/>
    <x v="0"/>
    <n v="24"/>
    <n v="22"/>
    <n v="0.9"/>
    <n v="12"/>
    <n v="0.86"/>
    <x v="0"/>
  </r>
  <r>
    <s v="S541"/>
    <n v="541"/>
    <x v="0"/>
    <x v="0"/>
    <x v="3"/>
    <n v="3.03"/>
    <x v="0"/>
    <n v="76.400000000000006"/>
    <n v="0.86"/>
    <x v="0"/>
    <n v="30"/>
    <n v="71"/>
    <n v="0.56000000000000005"/>
    <n v="7"/>
    <n v="0.51"/>
    <x v="2"/>
  </r>
  <r>
    <s v="S542"/>
    <n v="542"/>
    <x v="5"/>
    <x v="0"/>
    <x v="2"/>
    <n v="2.88"/>
    <x v="2"/>
    <n v="77.8"/>
    <n v="0.79"/>
    <x v="1"/>
    <n v="20"/>
    <n v="17"/>
    <n v="0.96"/>
    <n v="13"/>
    <n v="0.79"/>
    <x v="1"/>
  </r>
  <r>
    <s v="S543"/>
    <n v="543"/>
    <x v="3"/>
    <x v="1"/>
    <x v="1"/>
    <n v="3.99"/>
    <x v="1"/>
    <n v="83.1"/>
    <n v="0.68"/>
    <x v="1"/>
    <n v="26"/>
    <n v="54"/>
    <n v="0.91"/>
    <n v="0"/>
    <n v="0.94"/>
    <x v="0"/>
  </r>
  <r>
    <s v="S544"/>
    <n v="544"/>
    <x v="5"/>
    <x v="1"/>
    <x v="2"/>
    <n v="2.46"/>
    <x v="0"/>
    <n v="99.3"/>
    <n v="0.84"/>
    <x v="1"/>
    <n v="16"/>
    <n v="27"/>
    <n v="0.61"/>
    <n v="12"/>
    <n v="0.51"/>
    <x v="0"/>
  </r>
  <r>
    <s v="S545"/>
    <n v="545"/>
    <x v="7"/>
    <x v="0"/>
    <x v="2"/>
    <n v="3.09"/>
    <x v="1"/>
    <n v="69.7"/>
    <n v="0.62"/>
    <x v="2"/>
    <n v="32"/>
    <n v="69"/>
    <n v="0.94"/>
    <n v="7"/>
    <n v="0.7"/>
    <x v="0"/>
  </r>
  <r>
    <s v="S546"/>
    <n v="546"/>
    <x v="4"/>
    <x v="1"/>
    <x v="0"/>
    <n v="3.34"/>
    <x v="2"/>
    <n v="87.3"/>
    <n v="0.77"/>
    <x v="1"/>
    <n v="30"/>
    <n v="69"/>
    <n v="0.63"/>
    <n v="17"/>
    <n v="0.96"/>
    <x v="1"/>
  </r>
  <r>
    <s v="S547"/>
    <n v="547"/>
    <x v="2"/>
    <x v="2"/>
    <x v="1"/>
    <n v="3.4"/>
    <x v="0"/>
    <n v="88.6"/>
    <n v="0.82"/>
    <x v="2"/>
    <n v="25"/>
    <n v="11"/>
    <n v="0.6"/>
    <n v="8"/>
    <n v="0.68"/>
    <x v="1"/>
  </r>
  <r>
    <s v="S548"/>
    <n v="548"/>
    <x v="1"/>
    <x v="2"/>
    <x v="1"/>
    <n v="2.41"/>
    <x v="1"/>
    <n v="84.3"/>
    <n v="0.77"/>
    <x v="2"/>
    <n v="20"/>
    <n v="75"/>
    <n v="0.63"/>
    <n v="12"/>
    <n v="0.73"/>
    <x v="0"/>
  </r>
  <r>
    <s v="S549"/>
    <n v="549"/>
    <x v="5"/>
    <x v="1"/>
    <x v="2"/>
    <n v="3.31"/>
    <x v="2"/>
    <n v="63.5"/>
    <n v="0.9"/>
    <x v="1"/>
    <n v="35"/>
    <n v="23"/>
    <n v="0.95"/>
    <n v="2"/>
    <n v="0.99"/>
    <x v="2"/>
  </r>
  <r>
    <s v="S550"/>
    <n v="550"/>
    <x v="0"/>
    <x v="0"/>
    <x v="0"/>
    <n v="3.64"/>
    <x v="1"/>
    <n v="87.1"/>
    <n v="0.93"/>
    <x v="1"/>
    <n v="0"/>
    <n v="57"/>
    <n v="0.96"/>
    <n v="17"/>
    <n v="0.6"/>
    <x v="2"/>
  </r>
  <r>
    <s v="S551"/>
    <n v="551"/>
    <x v="7"/>
    <x v="1"/>
    <x v="1"/>
    <n v="2.1"/>
    <x v="3"/>
    <n v="62.6"/>
    <n v="0.91"/>
    <x v="2"/>
    <n v="3"/>
    <n v="65"/>
    <n v="0.66"/>
    <n v="9"/>
    <n v="0.53"/>
    <x v="0"/>
  </r>
  <r>
    <s v="S552"/>
    <n v="552"/>
    <x v="1"/>
    <x v="1"/>
    <x v="3"/>
    <n v="3.82"/>
    <x v="2"/>
    <n v="83.8"/>
    <n v="0.62"/>
    <x v="0"/>
    <n v="3"/>
    <n v="21"/>
    <n v="0.85"/>
    <n v="4"/>
    <n v="0.93"/>
    <x v="0"/>
  </r>
  <r>
    <s v="S553"/>
    <n v="553"/>
    <x v="2"/>
    <x v="0"/>
    <x v="2"/>
    <n v="2.06"/>
    <x v="2"/>
    <n v="89.6"/>
    <n v="0.68"/>
    <x v="0"/>
    <n v="25"/>
    <n v="64"/>
    <n v="0.84"/>
    <n v="5"/>
    <n v="0.93"/>
    <x v="0"/>
  </r>
  <r>
    <s v="S554"/>
    <n v="554"/>
    <x v="1"/>
    <x v="0"/>
    <x v="1"/>
    <n v="2.71"/>
    <x v="2"/>
    <n v="68.400000000000006"/>
    <n v="0.81"/>
    <x v="2"/>
    <n v="3"/>
    <n v="37"/>
    <n v="0.9"/>
    <n v="7"/>
    <n v="0.74"/>
    <x v="1"/>
  </r>
  <r>
    <s v="S555"/>
    <n v="555"/>
    <x v="7"/>
    <x v="2"/>
    <x v="3"/>
    <n v="2.0299999999999998"/>
    <x v="0"/>
    <n v="93.7"/>
    <n v="0.97"/>
    <x v="1"/>
    <n v="8"/>
    <n v="13"/>
    <n v="0.65"/>
    <n v="6"/>
    <n v="0.76"/>
    <x v="0"/>
  </r>
  <r>
    <s v="S556"/>
    <n v="556"/>
    <x v="4"/>
    <x v="0"/>
    <x v="1"/>
    <n v="2.15"/>
    <x v="0"/>
    <n v="61.2"/>
    <n v="0.93"/>
    <x v="2"/>
    <n v="29"/>
    <n v="45"/>
    <n v="0.76"/>
    <n v="17"/>
    <n v="0.92"/>
    <x v="0"/>
  </r>
  <r>
    <s v="S557"/>
    <n v="557"/>
    <x v="4"/>
    <x v="2"/>
    <x v="3"/>
    <n v="3.82"/>
    <x v="0"/>
    <n v="93.8"/>
    <n v="0.94"/>
    <x v="2"/>
    <n v="3"/>
    <n v="59"/>
    <n v="0.83"/>
    <n v="13"/>
    <n v="0.87"/>
    <x v="2"/>
  </r>
  <r>
    <s v="S558"/>
    <n v="558"/>
    <x v="6"/>
    <x v="0"/>
    <x v="2"/>
    <n v="2.71"/>
    <x v="3"/>
    <n v="78.400000000000006"/>
    <n v="0.72"/>
    <x v="1"/>
    <n v="4"/>
    <n v="12"/>
    <n v="0.51"/>
    <n v="14"/>
    <n v="0.63"/>
    <x v="0"/>
  </r>
  <r>
    <s v="S559"/>
    <n v="559"/>
    <x v="4"/>
    <x v="1"/>
    <x v="1"/>
    <n v="2.85"/>
    <x v="3"/>
    <n v="68.7"/>
    <n v="0.77"/>
    <x v="0"/>
    <n v="22"/>
    <n v="10"/>
    <n v="0.69"/>
    <n v="9"/>
    <n v="0.51"/>
    <x v="1"/>
  </r>
  <r>
    <s v="S560"/>
    <n v="560"/>
    <x v="6"/>
    <x v="2"/>
    <x v="1"/>
    <n v="2.4300000000000002"/>
    <x v="2"/>
    <n v="65.400000000000006"/>
    <n v="0.79"/>
    <x v="2"/>
    <n v="15"/>
    <n v="26"/>
    <n v="0.85"/>
    <n v="11"/>
    <n v="0.74"/>
    <x v="0"/>
  </r>
  <r>
    <s v="S561"/>
    <n v="561"/>
    <x v="1"/>
    <x v="2"/>
    <x v="0"/>
    <n v="3.19"/>
    <x v="3"/>
    <n v="98.1"/>
    <n v="0.66"/>
    <x v="0"/>
    <n v="21"/>
    <n v="80"/>
    <n v="0.63"/>
    <n v="6"/>
    <n v="0.93"/>
    <x v="0"/>
  </r>
  <r>
    <s v="S562"/>
    <n v="562"/>
    <x v="3"/>
    <x v="2"/>
    <x v="2"/>
    <n v="3.19"/>
    <x v="1"/>
    <n v="62.9"/>
    <n v="0.61"/>
    <x v="0"/>
    <n v="36"/>
    <n v="71"/>
    <n v="0.98"/>
    <n v="6"/>
    <n v="0.95"/>
    <x v="0"/>
  </r>
  <r>
    <s v="S563"/>
    <n v="563"/>
    <x v="0"/>
    <x v="1"/>
    <x v="3"/>
    <n v="2.74"/>
    <x v="2"/>
    <n v="68"/>
    <n v="0.98"/>
    <x v="1"/>
    <n v="7"/>
    <n v="57"/>
    <n v="0.52"/>
    <n v="10"/>
    <n v="0.98"/>
    <x v="1"/>
  </r>
  <r>
    <s v="S564"/>
    <n v="564"/>
    <x v="0"/>
    <x v="1"/>
    <x v="1"/>
    <n v="2.67"/>
    <x v="2"/>
    <n v="73.900000000000006"/>
    <n v="0.7"/>
    <x v="2"/>
    <n v="32"/>
    <n v="71"/>
    <n v="0.98"/>
    <n v="12"/>
    <n v="0.94"/>
    <x v="0"/>
  </r>
  <r>
    <s v="S565"/>
    <n v="565"/>
    <x v="1"/>
    <x v="1"/>
    <x v="1"/>
    <n v="3.77"/>
    <x v="1"/>
    <n v="84.8"/>
    <n v="0.7"/>
    <x v="2"/>
    <n v="37"/>
    <n v="78"/>
    <n v="0.61"/>
    <n v="14"/>
    <n v="0.79"/>
    <x v="0"/>
  </r>
  <r>
    <s v="S566"/>
    <n v="566"/>
    <x v="5"/>
    <x v="1"/>
    <x v="3"/>
    <n v="2.77"/>
    <x v="2"/>
    <n v="81.8"/>
    <n v="0.63"/>
    <x v="0"/>
    <n v="15"/>
    <n v="28"/>
    <n v="0.52"/>
    <n v="17"/>
    <n v="0.72"/>
    <x v="0"/>
  </r>
  <r>
    <s v="S567"/>
    <n v="567"/>
    <x v="5"/>
    <x v="1"/>
    <x v="2"/>
    <n v="2.99"/>
    <x v="3"/>
    <n v="65"/>
    <n v="0.97"/>
    <x v="0"/>
    <n v="4"/>
    <n v="43"/>
    <n v="0.65"/>
    <n v="6"/>
    <n v="0.89"/>
    <x v="1"/>
  </r>
  <r>
    <s v="S568"/>
    <n v="568"/>
    <x v="4"/>
    <x v="2"/>
    <x v="0"/>
    <n v="2.57"/>
    <x v="0"/>
    <n v="71.599999999999994"/>
    <n v="0.83"/>
    <x v="1"/>
    <n v="15"/>
    <n v="58"/>
    <n v="0.89"/>
    <n v="5"/>
    <n v="0.87"/>
    <x v="1"/>
  </r>
  <r>
    <s v="S569"/>
    <n v="569"/>
    <x v="0"/>
    <x v="1"/>
    <x v="0"/>
    <n v="3.57"/>
    <x v="1"/>
    <n v="69.599999999999994"/>
    <n v="0.87"/>
    <x v="0"/>
    <n v="6"/>
    <n v="89"/>
    <n v="0.88"/>
    <n v="10"/>
    <n v="0.77"/>
    <x v="2"/>
  </r>
  <r>
    <s v="S570"/>
    <n v="570"/>
    <x v="0"/>
    <x v="2"/>
    <x v="1"/>
    <n v="2.79"/>
    <x v="3"/>
    <n v="68.5"/>
    <n v="0.96"/>
    <x v="1"/>
    <n v="0"/>
    <n v="56"/>
    <n v="0.6"/>
    <n v="7"/>
    <n v="0.54"/>
    <x v="1"/>
  </r>
  <r>
    <s v="S571"/>
    <n v="571"/>
    <x v="6"/>
    <x v="1"/>
    <x v="3"/>
    <n v="3.03"/>
    <x v="1"/>
    <n v="76.400000000000006"/>
    <n v="0.74"/>
    <x v="2"/>
    <n v="8"/>
    <n v="59"/>
    <n v="0.6"/>
    <n v="19"/>
    <n v="0.96"/>
    <x v="0"/>
  </r>
  <r>
    <s v="S572"/>
    <n v="572"/>
    <x v="3"/>
    <x v="0"/>
    <x v="1"/>
    <n v="2.5099999999999998"/>
    <x v="1"/>
    <n v="88.2"/>
    <n v="0.85"/>
    <x v="1"/>
    <n v="17"/>
    <n v="35"/>
    <n v="0.82"/>
    <n v="0"/>
    <n v="0.73"/>
    <x v="1"/>
  </r>
  <r>
    <s v="S573"/>
    <n v="573"/>
    <x v="7"/>
    <x v="2"/>
    <x v="3"/>
    <n v="3.98"/>
    <x v="2"/>
    <n v="68.7"/>
    <n v="0.62"/>
    <x v="0"/>
    <n v="2"/>
    <n v="65"/>
    <n v="0.73"/>
    <n v="7"/>
    <n v="0.68"/>
    <x v="0"/>
  </r>
  <r>
    <s v="S574"/>
    <n v="574"/>
    <x v="5"/>
    <x v="0"/>
    <x v="0"/>
    <n v="2.58"/>
    <x v="2"/>
    <n v="74.7"/>
    <n v="0.67"/>
    <x v="2"/>
    <n v="23"/>
    <n v="87"/>
    <n v="0.9"/>
    <n v="7"/>
    <n v="0.81"/>
    <x v="0"/>
  </r>
  <r>
    <s v="S575"/>
    <n v="575"/>
    <x v="0"/>
    <x v="2"/>
    <x v="2"/>
    <n v="3.54"/>
    <x v="3"/>
    <n v="75.599999999999994"/>
    <n v="0.93"/>
    <x v="1"/>
    <n v="27"/>
    <n v="23"/>
    <n v="0.51"/>
    <n v="18"/>
    <n v="0.84"/>
    <x v="2"/>
  </r>
  <r>
    <s v="S576"/>
    <n v="576"/>
    <x v="6"/>
    <x v="0"/>
    <x v="3"/>
    <n v="2.85"/>
    <x v="1"/>
    <n v="99.1"/>
    <n v="0.91"/>
    <x v="2"/>
    <n v="9"/>
    <n v="87"/>
    <n v="0.81"/>
    <n v="2"/>
    <n v="0.61"/>
    <x v="1"/>
  </r>
  <r>
    <s v="S577"/>
    <n v="577"/>
    <x v="2"/>
    <x v="1"/>
    <x v="0"/>
    <n v="2.41"/>
    <x v="2"/>
    <n v="98.2"/>
    <n v="0.74"/>
    <x v="1"/>
    <n v="8"/>
    <n v="34"/>
    <n v="0.87"/>
    <n v="4"/>
    <n v="0.92"/>
    <x v="0"/>
  </r>
  <r>
    <s v="S578"/>
    <n v="578"/>
    <x v="6"/>
    <x v="1"/>
    <x v="1"/>
    <n v="3.6"/>
    <x v="2"/>
    <n v="92"/>
    <n v="0.75"/>
    <x v="0"/>
    <n v="12"/>
    <n v="13"/>
    <n v="1"/>
    <n v="2"/>
    <n v="0.64"/>
    <x v="1"/>
  </r>
  <r>
    <s v="S579"/>
    <n v="579"/>
    <x v="5"/>
    <x v="1"/>
    <x v="3"/>
    <n v="2.67"/>
    <x v="1"/>
    <n v="69.7"/>
    <n v="0.81"/>
    <x v="0"/>
    <n v="34"/>
    <n v="88"/>
    <n v="0.84"/>
    <n v="14"/>
    <n v="0.59"/>
    <x v="1"/>
  </r>
  <r>
    <s v="S580"/>
    <n v="580"/>
    <x v="5"/>
    <x v="2"/>
    <x v="2"/>
    <n v="3.73"/>
    <x v="3"/>
    <n v="62.7"/>
    <n v="0.6"/>
    <x v="2"/>
    <n v="22"/>
    <n v="41"/>
    <n v="0.62"/>
    <n v="13"/>
    <n v="0.7"/>
    <x v="0"/>
  </r>
  <r>
    <s v="S581"/>
    <n v="581"/>
    <x v="6"/>
    <x v="0"/>
    <x v="1"/>
    <n v="3.83"/>
    <x v="3"/>
    <n v="72.7"/>
    <n v="0.7"/>
    <x v="2"/>
    <n v="16"/>
    <n v="87"/>
    <n v="0.55000000000000004"/>
    <n v="14"/>
    <n v="0.87"/>
    <x v="0"/>
  </r>
  <r>
    <s v="S582"/>
    <n v="582"/>
    <x v="7"/>
    <x v="1"/>
    <x v="1"/>
    <n v="3.72"/>
    <x v="1"/>
    <n v="70.7"/>
    <n v="0.68"/>
    <x v="2"/>
    <n v="6"/>
    <n v="74"/>
    <n v="0.82"/>
    <n v="16"/>
    <n v="0.98"/>
    <x v="0"/>
  </r>
  <r>
    <s v="S583"/>
    <n v="583"/>
    <x v="1"/>
    <x v="0"/>
    <x v="0"/>
    <n v="2.0699999999999998"/>
    <x v="3"/>
    <n v="80.2"/>
    <n v="0.7"/>
    <x v="1"/>
    <n v="15"/>
    <n v="70"/>
    <n v="0.76"/>
    <n v="17"/>
    <n v="0.9"/>
    <x v="0"/>
  </r>
  <r>
    <s v="S584"/>
    <n v="584"/>
    <x v="5"/>
    <x v="0"/>
    <x v="3"/>
    <n v="3.57"/>
    <x v="2"/>
    <n v="91.1"/>
    <n v="0.92"/>
    <x v="0"/>
    <n v="39"/>
    <n v="29"/>
    <n v="0.95"/>
    <n v="1"/>
    <n v="0.97"/>
    <x v="2"/>
  </r>
  <r>
    <s v="S585"/>
    <n v="585"/>
    <x v="6"/>
    <x v="1"/>
    <x v="1"/>
    <n v="2.82"/>
    <x v="1"/>
    <n v="94.3"/>
    <n v="0.71"/>
    <x v="2"/>
    <n v="35"/>
    <n v="83"/>
    <n v="0.86"/>
    <n v="11"/>
    <n v="0.56999999999999995"/>
    <x v="0"/>
  </r>
  <r>
    <s v="S586"/>
    <n v="586"/>
    <x v="0"/>
    <x v="1"/>
    <x v="2"/>
    <n v="3.75"/>
    <x v="2"/>
    <n v="93.8"/>
    <n v="0.68"/>
    <x v="2"/>
    <n v="19"/>
    <n v="19"/>
    <n v="0.75"/>
    <n v="15"/>
    <n v="0.54"/>
    <x v="0"/>
  </r>
  <r>
    <s v="S587"/>
    <n v="587"/>
    <x v="6"/>
    <x v="0"/>
    <x v="3"/>
    <n v="3.28"/>
    <x v="0"/>
    <n v="74.400000000000006"/>
    <n v="0.8"/>
    <x v="2"/>
    <n v="23"/>
    <n v="43"/>
    <n v="0.7"/>
    <n v="3"/>
    <n v="0.78"/>
    <x v="1"/>
  </r>
  <r>
    <s v="S588"/>
    <n v="588"/>
    <x v="3"/>
    <x v="1"/>
    <x v="2"/>
    <n v="3.67"/>
    <x v="0"/>
    <n v="87.5"/>
    <n v="0.95"/>
    <x v="1"/>
    <n v="4"/>
    <n v="70"/>
    <n v="0.7"/>
    <n v="1"/>
    <n v="0.65"/>
    <x v="2"/>
  </r>
  <r>
    <s v="S589"/>
    <n v="589"/>
    <x v="1"/>
    <x v="1"/>
    <x v="1"/>
    <n v="3"/>
    <x v="3"/>
    <n v="72.5"/>
    <n v="0.7"/>
    <x v="2"/>
    <n v="5"/>
    <n v="36"/>
    <n v="0.61"/>
    <n v="13"/>
    <n v="0.91"/>
    <x v="0"/>
  </r>
  <r>
    <s v="S590"/>
    <n v="590"/>
    <x v="2"/>
    <x v="1"/>
    <x v="2"/>
    <n v="3.07"/>
    <x v="0"/>
    <n v="62.4"/>
    <n v="0.63"/>
    <x v="2"/>
    <n v="27"/>
    <n v="49"/>
    <n v="0.51"/>
    <n v="10"/>
    <n v="0.84"/>
    <x v="0"/>
  </r>
  <r>
    <s v="S591"/>
    <n v="591"/>
    <x v="7"/>
    <x v="2"/>
    <x v="0"/>
    <n v="2.29"/>
    <x v="2"/>
    <n v="88.1"/>
    <n v="0.74"/>
    <x v="1"/>
    <n v="4"/>
    <n v="74"/>
    <n v="0.79"/>
    <n v="12"/>
    <n v="0.99"/>
    <x v="0"/>
  </r>
  <r>
    <s v="S592"/>
    <n v="592"/>
    <x v="4"/>
    <x v="0"/>
    <x v="2"/>
    <n v="3.57"/>
    <x v="0"/>
    <n v="60.4"/>
    <n v="0.9"/>
    <x v="1"/>
    <n v="38"/>
    <n v="42"/>
    <n v="0.61"/>
    <n v="6"/>
    <n v="0.63"/>
    <x v="2"/>
  </r>
  <r>
    <s v="S593"/>
    <n v="593"/>
    <x v="2"/>
    <x v="0"/>
    <x v="3"/>
    <n v="2.84"/>
    <x v="2"/>
    <n v="76.400000000000006"/>
    <n v="0.82"/>
    <x v="2"/>
    <n v="37"/>
    <n v="77"/>
    <n v="0.6"/>
    <n v="9"/>
    <n v="0.74"/>
    <x v="1"/>
  </r>
  <r>
    <s v="S594"/>
    <n v="594"/>
    <x v="1"/>
    <x v="2"/>
    <x v="2"/>
    <n v="3"/>
    <x v="3"/>
    <n v="73.2"/>
    <n v="0.93"/>
    <x v="2"/>
    <n v="1"/>
    <n v="80"/>
    <n v="0.56000000000000005"/>
    <n v="0"/>
    <n v="0.75"/>
    <x v="2"/>
  </r>
  <r>
    <s v="S595"/>
    <n v="595"/>
    <x v="1"/>
    <x v="0"/>
    <x v="2"/>
    <n v="3.57"/>
    <x v="3"/>
    <n v="87.7"/>
    <n v="0.98"/>
    <x v="1"/>
    <n v="38"/>
    <n v="18"/>
    <n v="0.59"/>
    <n v="3"/>
    <n v="0.62"/>
    <x v="2"/>
  </r>
  <r>
    <s v="S596"/>
    <n v="596"/>
    <x v="1"/>
    <x v="1"/>
    <x v="0"/>
    <n v="3.2"/>
    <x v="2"/>
    <n v="90.6"/>
    <n v="0.92"/>
    <x v="0"/>
    <n v="20"/>
    <n v="25"/>
    <n v="0.52"/>
    <n v="17"/>
    <n v="0.8"/>
    <x v="2"/>
  </r>
  <r>
    <s v="S597"/>
    <n v="597"/>
    <x v="2"/>
    <x v="0"/>
    <x v="2"/>
    <n v="2.4"/>
    <x v="0"/>
    <n v="72.2"/>
    <n v="0.84"/>
    <x v="1"/>
    <n v="39"/>
    <n v="14"/>
    <n v="0.84"/>
    <n v="5"/>
    <n v="0.72"/>
    <x v="0"/>
  </r>
  <r>
    <s v="S598"/>
    <n v="598"/>
    <x v="0"/>
    <x v="1"/>
    <x v="2"/>
    <n v="3.18"/>
    <x v="3"/>
    <n v="92.5"/>
    <n v="0.8"/>
    <x v="0"/>
    <n v="36"/>
    <n v="32"/>
    <n v="0.7"/>
    <n v="1"/>
    <n v="0.72"/>
    <x v="1"/>
  </r>
  <r>
    <s v="S599"/>
    <n v="599"/>
    <x v="1"/>
    <x v="2"/>
    <x v="1"/>
    <n v="2.82"/>
    <x v="1"/>
    <n v="71.8"/>
    <n v="0.62"/>
    <x v="2"/>
    <n v="17"/>
    <n v="52"/>
    <n v="0.78"/>
    <n v="2"/>
    <n v="0.68"/>
    <x v="0"/>
  </r>
  <r>
    <s v="S600"/>
    <n v="600"/>
    <x v="6"/>
    <x v="1"/>
    <x v="1"/>
    <n v="2.94"/>
    <x v="3"/>
    <n v="77.900000000000006"/>
    <n v="0.99"/>
    <x v="2"/>
    <n v="11"/>
    <n v="66"/>
    <n v="0.82"/>
    <n v="13"/>
    <n v="0.51"/>
    <x v="1"/>
  </r>
  <r>
    <s v="S601"/>
    <n v="601"/>
    <x v="2"/>
    <x v="0"/>
    <x v="3"/>
    <n v="2.06"/>
    <x v="0"/>
    <n v="89.1"/>
    <n v="0.75"/>
    <x v="0"/>
    <n v="16"/>
    <n v="60"/>
    <n v="0.99"/>
    <n v="7"/>
    <n v="0.76"/>
    <x v="0"/>
  </r>
  <r>
    <s v="S602"/>
    <n v="602"/>
    <x v="4"/>
    <x v="0"/>
    <x v="1"/>
    <n v="2.42"/>
    <x v="1"/>
    <n v="87.7"/>
    <n v="0.66"/>
    <x v="1"/>
    <n v="36"/>
    <n v="22"/>
    <n v="0.53"/>
    <n v="15"/>
    <n v="0.67"/>
    <x v="0"/>
  </r>
  <r>
    <s v="S603"/>
    <n v="603"/>
    <x v="1"/>
    <x v="0"/>
    <x v="1"/>
    <n v="2.56"/>
    <x v="0"/>
    <n v="99.5"/>
    <n v="0.87"/>
    <x v="2"/>
    <n v="37"/>
    <n v="33"/>
    <n v="0.71"/>
    <n v="18"/>
    <n v="0.5"/>
    <x v="1"/>
  </r>
  <r>
    <s v="S604"/>
    <n v="604"/>
    <x v="6"/>
    <x v="2"/>
    <x v="1"/>
    <n v="3.43"/>
    <x v="2"/>
    <n v="69"/>
    <n v="0.71"/>
    <x v="0"/>
    <n v="14"/>
    <n v="20"/>
    <n v="0.62"/>
    <n v="17"/>
    <n v="0.65"/>
    <x v="0"/>
  </r>
  <r>
    <s v="S605"/>
    <n v="605"/>
    <x v="0"/>
    <x v="2"/>
    <x v="1"/>
    <n v="2.02"/>
    <x v="1"/>
    <n v="86.5"/>
    <n v="0.83"/>
    <x v="1"/>
    <n v="6"/>
    <n v="61"/>
    <n v="0.74"/>
    <n v="5"/>
    <n v="0.64"/>
    <x v="0"/>
  </r>
  <r>
    <s v="S606"/>
    <n v="606"/>
    <x v="3"/>
    <x v="0"/>
    <x v="0"/>
    <n v="2.82"/>
    <x v="0"/>
    <n v="84.4"/>
    <n v="0.83"/>
    <x v="0"/>
    <n v="13"/>
    <n v="26"/>
    <n v="0.96"/>
    <n v="13"/>
    <n v="0.7"/>
    <x v="1"/>
  </r>
  <r>
    <s v="S607"/>
    <n v="607"/>
    <x v="0"/>
    <x v="1"/>
    <x v="1"/>
    <n v="3.85"/>
    <x v="1"/>
    <n v="96.6"/>
    <n v="0.78"/>
    <x v="1"/>
    <n v="0"/>
    <n v="46"/>
    <n v="0.86"/>
    <n v="2"/>
    <n v="0.56999999999999995"/>
    <x v="1"/>
  </r>
  <r>
    <s v="S608"/>
    <n v="608"/>
    <x v="4"/>
    <x v="2"/>
    <x v="0"/>
    <n v="2.2200000000000002"/>
    <x v="0"/>
    <n v="66.3"/>
    <n v="0.93"/>
    <x v="1"/>
    <n v="37"/>
    <n v="22"/>
    <n v="0.83"/>
    <n v="15"/>
    <n v="0.75"/>
    <x v="0"/>
  </r>
  <r>
    <s v="S609"/>
    <n v="609"/>
    <x v="1"/>
    <x v="0"/>
    <x v="0"/>
    <n v="3.03"/>
    <x v="1"/>
    <n v="90.1"/>
    <n v="0.71"/>
    <x v="1"/>
    <n v="2"/>
    <n v="71"/>
    <n v="0.72"/>
    <n v="0"/>
    <n v="0.85"/>
    <x v="0"/>
  </r>
  <r>
    <s v="S610"/>
    <n v="610"/>
    <x v="4"/>
    <x v="0"/>
    <x v="1"/>
    <n v="3.57"/>
    <x v="0"/>
    <n v="82.7"/>
    <n v="0.78"/>
    <x v="1"/>
    <n v="36"/>
    <n v="17"/>
    <n v="0.84"/>
    <n v="11"/>
    <n v="0.82"/>
    <x v="1"/>
  </r>
  <r>
    <s v="S611"/>
    <n v="611"/>
    <x v="2"/>
    <x v="2"/>
    <x v="2"/>
    <n v="3.89"/>
    <x v="2"/>
    <n v="71"/>
    <n v="0.82"/>
    <x v="0"/>
    <n v="30"/>
    <n v="65"/>
    <n v="0.52"/>
    <n v="13"/>
    <n v="0.9"/>
    <x v="1"/>
  </r>
  <r>
    <s v="S612"/>
    <n v="612"/>
    <x v="5"/>
    <x v="2"/>
    <x v="0"/>
    <n v="3.49"/>
    <x v="1"/>
    <n v="79"/>
    <n v="0.87"/>
    <x v="0"/>
    <n v="12"/>
    <n v="79"/>
    <n v="0.79"/>
    <n v="18"/>
    <n v="0.73"/>
    <x v="2"/>
  </r>
  <r>
    <s v="S613"/>
    <n v="613"/>
    <x v="1"/>
    <x v="2"/>
    <x v="2"/>
    <n v="3.44"/>
    <x v="1"/>
    <n v="73.400000000000006"/>
    <n v="0.91"/>
    <x v="0"/>
    <n v="17"/>
    <n v="53"/>
    <n v="0.78"/>
    <n v="18"/>
    <n v="0.76"/>
    <x v="2"/>
  </r>
  <r>
    <s v="S614"/>
    <n v="614"/>
    <x v="5"/>
    <x v="1"/>
    <x v="2"/>
    <n v="3.65"/>
    <x v="1"/>
    <n v="83.2"/>
    <n v="0.76"/>
    <x v="0"/>
    <n v="16"/>
    <n v="69"/>
    <n v="0.67"/>
    <n v="8"/>
    <n v="0.91"/>
    <x v="1"/>
  </r>
  <r>
    <s v="S615"/>
    <n v="615"/>
    <x v="6"/>
    <x v="1"/>
    <x v="1"/>
    <n v="2.89"/>
    <x v="1"/>
    <n v="95.6"/>
    <n v="0.86"/>
    <x v="0"/>
    <n v="16"/>
    <n v="50"/>
    <n v="0.6"/>
    <n v="6"/>
    <n v="0.71"/>
    <x v="1"/>
  </r>
  <r>
    <s v="S616"/>
    <n v="616"/>
    <x v="3"/>
    <x v="0"/>
    <x v="3"/>
    <n v="3.61"/>
    <x v="2"/>
    <n v="82.8"/>
    <n v="0.66"/>
    <x v="1"/>
    <n v="10"/>
    <n v="30"/>
    <n v="0.9"/>
    <n v="13"/>
    <n v="0.85"/>
    <x v="0"/>
  </r>
  <r>
    <s v="S617"/>
    <n v="617"/>
    <x v="7"/>
    <x v="2"/>
    <x v="1"/>
    <n v="2.02"/>
    <x v="1"/>
    <n v="85.3"/>
    <n v="0.97"/>
    <x v="2"/>
    <n v="19"/>
    <n v="51"/>
    <n v="0.53"/>
    <n v="4"/>
    <n v="0.72"/>
    <x v="0"/>
  </r>
  <r>
    <s v="S618"/>
    <n v="618"/>
    <x v="4"/>
    <x v="1"/>
    <x v="3"/>
    <n v="3.85"/>
    <x v="3"/>
    <n v="80.7"/>
    <n v="0.75"/>
    <x v="2"/>
    <n v="9"/>
    <n v="83"/>
    <n v="0.53"/>
    <n v="17"/>
    <n v="0.71"/>
    <x v="1"/>
  </r>
  <r>
    <s v="S619"/>
    <n v="619"/>
    <x v="0"/>
    <x v="2"/>
    <x v="3"/>
    <n v="2.89"/>
    <x v="2"/>
    <n v="62"/>
    <n v="0.89"/>
    <x v="0"/>
    <n v="28"/>
    <n v="83"/>
    <n v="0.72"/>
    <n v="8"/>
    <n v="0.88"/>
    <x v="1"/>
  </r>
  <r>
    <s v="S620"/>
    <n v="620"/>
    <x v="3"/>
    <x v="0"/>
    <x v="1"/>
    <n v="3.11"/>
    <x v="3"/>
    <n v="69.3"/>
    <n v="0.61"/>
    <x v="0"/>
    <n v="33"/>
    <n v="38"/>
    <n v="0.63"/>
    <n v="6"/>
    <n v="0.59"/>
    <x v="0"/>
  </r>
  <r>
    <s v="S621"/>
    <n v="621"/>
    <x v="1"/>
    <x v="1"/>
    <x v="1"/>
    <n v="2.5099999999999998"/>
    <x v="1"/>
    <n v="79.7"/>
    <n v="0.68"/>
    <x v="2"/>
    <n v="16"/>
    <n v="89"/>
    <n v="0.87"/>
    <n v="8"/>
    <n v="0.67"/>
    <x v="0"/>
  </r>
  <r>
    <s v="S622"/>
    <n v="622"/>
    <x v="5"/>
    <x v="1"/>
    <x v="3"/>
    <n v="3.49"/>
    <x v="0"/>
    <n v="72.400000000000006"/>
    <n v="0.79"/>
    <x v="1"/>
    <n v="12"/>
    <n v="74"/>
    <n v="0.82"/>
    <n v="3"/>
    <n v="0.61"/>
    <x v="1"/>
  </r>
  <r>
    <s v="S623"/>
    <n v="623"/>
    <x v="0"/>
    <x v="1"/>
    <x v="1"/>
    <n v="2.15"/>
    <x v="3"/>
    <n v="67.3"/>
    <n v="0.95"/>
    <x v="0"/>
    <n v="38"/>
    <n v="26"/>
    <n v="0.89"/>
    <n v="16"/>
    <n v="0.68"/>
    <x v="0"/>
  </r>
  <r>
    <s v="S624"/>
    <n v="624"/>
    <x v="5"/>
    <x v="0"/>
    <x v="3"/>
    <n v="3.75"/>
    <x v="1"/>
    <n v="80.2"/>
    <n v="0.81"/>
    <x v="1"/>
    <n v="26"/>
    <n v="39"/>
    <n v="0.66"/>
    <n v="11"/>
    <n v="0.62"/>
    <x v="1"/>
  </r>
  <r>
    <s v="S625"/>
    <n v="625"/>
    <x v="2"/>
    <x v="2"/>
    <x v="2"/>
    <n v="3.66"/>
    <x v="3"/>
    <n v="72.900000000000006"/>
    <n v="0.97"/>
    <x v="2"/>
    <n v="25"/>
    <n v="35"/>
    <n v="0.87"/>
    <n v="5"/>
    <n v="0.79"/>
    <x v="2"/>
  </r>
  <r>
    <s v="S626"/>
    <n v="626"/>
    <x v="5"/>
    <x v="1"/>
    <x v="1"/>
    <n v="2.4300000000000002"/>
    <x v="1"/>
    <n v="70.3"/>
    <n v="0.79"/>
    <x v="2"/>
    <n v="27"/>
    <n v="62"/>
    <n v="0.93"/>
    <n v="17"/>
    <n v="0.9"/>
    <x v="0"/>
  </r>
  <r>
    <s v="S627"/>
    <n v="627"/>
    <x v="2"/>
    <x v="0"/>
    <x v="2"/>
    <n v="3.62"/>
    <x v="1"/>
    <n v="78.599999999999994"/>
    <n v="0.8"/>
    <x v="0"/>
    <n v="12"/>
    <n v="28"/>
    <n v="0.67"/>
    <n v="7"/>
    <n v="0.89"/>
    <x v="1"/>
  </r>
  <r>
    <s v="S628"/>
    <n v="628"/>
    <x v="6"/>
    <x v="2"/>
    <x v="0"/>
    <n v="3.57"/>
    <x v="1"/>
    <n v="65.3"/>
    <n v="0.65"/>
    <x v="1"/>
    <n v="11"/>
    <n v="62"/>
    <n v="0.67"/>
    <n v="14"/>
    <n v="0.68"/>
    <x v="0"/>
  </r>
  <r>
    <s v="S629"/>
    <n v="629"/>
    <x v="0"/>
    <x v="0"/>
    <x v="2"/>
    <n v="3.26"/>
    <x v="0"/>
    <n v="97.1"/>
    <n v="0.92"/>
    <x v="0"/>
    <n v="27"/>
    <n v="26"/>
    <n v="0.95"/>
    <n v="2"/>
    <n v="0.99"/>
    <x v="2"/>
  </r>
  <r>
    <s v="S630"/>
    <n v="630"/>
    <x v="0"/>
    <x v="2"/>
    <x v="2"/>
    <n v="2.75"/>
    <x v="3"/>
    <n v="94.7"/>
    <n v="0.7"/>
    <x v="2"/>
    <n v="1"/>
    <n v="55"/>
    <n v="0.52"/>
    <n v="1"/>
    <n v="0.8"/>
    <x v="0"/>
  </r>
  <r>
    <s v="S631"/>
    <n v="631"/>
    <x v="7"/>
    <x v="0"/>
    <x v="3"/>
    <n v="2.54"/>
    <x v="2"/>
    <n v="88.3"/>
    <n v="0.96"/>
    <x v="1"/>
    <n v="36"/>
    <n v="62"/>
    <n v="0.68"/>
    <n v="8"/>
    <n v="0.7"/>
    <x v="1"/>
  </r>
  <r>
    <s v="S632"/>
    <n v="632"/>
    <x v="1"/>
    <x v="2"/>
    <x v="2"/>
    <n v="2.46"/>
    <x v="2"/>
    <n v="64.2"/>
    <n v="0.96"/>
    <x v="0"/>
    <n v="33"/>
    <n v="73"/>
    <n v="0.56000000000000005"/>
    <n v="7"/>
    <n v="0.92"/>
    <x v="0"/>
  </r>
  <r>
    <s v="S633"/>
    <n v="633"/>
    <x v="2"/>
    <x v="1"/>
    <x v="1"/>
    <n v="2.64"/>
    <x v="2"/>
    <n v="91"/>
    <n v="0.98"/>
    <x v="0"/>
    <n v="22"/>
    <n v="54"/>
    <n v="0.51"/>
    <n v="3"/>
    <n v="0.86"/>
    <x v="1"/>
  </r>
  <r>
    <s v="S634"/>
    <n v="634"/>
    <x v="7"/>
    <x v="2"/>
    <x v="3"/>
    <n v="3.81"/>
    <x v="2"/>
    <n v="92.3"/>
    <n v="0.81"/>
    <x v="0"/>
    <n v="28"/>
    <n v="58"/>
    <n v="0.56000000000000005"/>
    <n v="1"/>
    <n v="0.87"/>
    <x v="1"/>
  </r>
  <r>
    <s v="S635"/>
    <n v="635"/>
    <x v="5"/>
    <x v="0"/>
    <x v="0"/>
    <n v="2.16"/>
    <x v="1"/>
    <n v="90.7"/>
    <n v="0.87"/>
    <x v="2"/>
    <n v="34"/>
    <n v="28"/>
    <n v="0.72"/>
    <n v="13"/>
    <n v="0.6"/>
    <x v="0"/>
  </r>
  <r>
    <s v="S636"/>
    <n v="636"/>
    <x v="5"/>
    <x v="0"/>
    <x v="1"/>
    <n v="3.66"/>
    <x v="3"/>
    <n v="64.599999999999994"/>
    <n v="0.91"/>
    <x v="0"/>
    <n v="10"/>
    <n v="80"/>
    <n v="0.84"/>
    <n v="1"/>
    <n v="0.73"/>
    <x v="2"/>
  </r>
  <r>
    <s v="S637"/>
    <n v="637"/>
    <x v="7"/>
    <x v="2"/>
    <x v="0"/>
    <n v="2.7"/>
    <x v="3"/>
    <n v="85.8"/>
    <n v="0.65"/>
    <x v="1"/>
    <n v="32"/>
    <n v="74"/>
    <n v="0.64"/>
    <n v="1"/>
    <n v="0.93"/>
    <x v="0"/>
  </r>
  <r>
    <s v="S638"/>
    <n v="638"/>
    <x v="0"/>
    <x v="1"/>
    <x v="2"/>
    <n v="3.04"/>
    <x v="0"/>
    <n v="93.4"/>
    <n v="0.84"/>
    <x v="0"/>
    <n v="10"/>
    <n v="46"/>
    <n v="0.92"/>
    <n v="6"/>
    <n v="0.75"/>
    <x v="1"/>
  </r>
  <r>
    <s v="S639"/>
    <n v="639"/>
    <x v="5"/>
    <x v="1"/>
    <x v="1"/>
    <n v="3.59"/>
    <x v="3"/>
    <n v="83.1"/>
    <n v="0.61"/>
    <x v="2"/>
    <n v="8"/>
    <n v="79"/>
    <n v="0.72"/>
    <n v="11"/>
    <n v="0.84"/>
    <x v="0"/>
  </r>
  <r>
    <s v="S640"/>
    <n v="640"/>
    <x v="4"/>
    <x v="2"/>
    <x v="1"/>
    <n v="3.77"/>
    <x v="3"/>
    <n v="85.9"/>
    <n v="0.8"/>
    <x v="0"/>
    <n v="13"/>
    <n v="35"/>
    <n v="0.98"/>
    <n v="5"/>
    <n v="0.79"/>
    <x v="1"/>
  </r>
  <r>
    <s v="S641"/>
    <n v="641"/>
    <x v="6"/>
    <x v="2"/>
    <x v="0"/>
    <n v="2.69"/>
    <x v="3"/>
    <n v="78.3"/>
    <n v="0.66"/>
    <x v="2"/>
    <n v="8"/>
    <n v="11"/>
    <n v="0.98"/>
    <n v="17"/>
    <n v="0.92"/>
    <x v="0"/>
  </r>
  <r>
    <s v="S642"/>
    <n v="642"/>
    <x v="6"/>
    <x v="0"/>
    <x v="1"/>
    <n v="2.92"/>
    <x v="0"/>
    <n v="81.099999999999994"/>
    <n v="0.67"/>
    <x v="2"/>
    <n v="38"/>
    <n v="68"/>
    <n v="0.89"/>
    <n v="3"/>
    <n v="0.64"/>
    <x v="0"/>
  </r>
  <r>
    <s v="S643"/>
    <n v="643"/>
    <x v="4"/>
    <x v="1"/>
    <x v="1"/>
    <n v="2.83"/>
    <x v="2"/>
    <n v="61.4"/>
    <n v="0.75"/>
    <x v="1"/>
    <n v="2"/>
    <n v="14"/>
    <n v="0.97"/>
    <n v="18"/>
    <n v="0.79"/>
    <x v="1"/>
  </r>
  <r>
    <s v="S644"/>
    <n v="644"/>
    <x v="7"/>
    <x v="2"/>
    <x v="1"/>
    <n v="2.0299999999999998"/>
    <x v="3"/>
    <n v="85.6"/>
    <n v="0.77"/>
    <x v="1"/>
    <n v="28"/>
    <n v="46"/>
    <n v="0.85"/>
    <n v="12"/>
    <n v="0.56000000000000005"/>
    <x v="0"/>
  </r>
  <r>
    <s v="S645"/>
    <n v="645"/>
    <x v="4"/>
    <x v="1"/>
    <x v="2"/>
    <n v="2.59"/>
    <x v="0"/>
    <n v="63.3"/>
    <n v="0.85"/>
    <x v="0"/>
    <n v="18"/>
    <n v="40"/>
    <n v="0.95"/>
    <n v="19"/>
    <n v="0.85"/>
    <x v="1"/>
  </r>
  <r>
    <s v="S646"/>
    <n v="646"/>
    <x v="2"/>
    <x v="2"/>
    <x v="0"/>
    <n v="2.92"/>
    <x v="0"/>
    <n v="77.400000000000006"/>
    <n v="0.63"/>
    <x v="2"/>
    <n v="35"/>
    <n v="85"/>
    <n v="0.62"/>
    <n v="1"/>
    <n v="0.87"/>
    <x v="0"/>
  </r>
  <r>
    <s v="S647"/>
    <n v="647"/>
    <x v="2"/>
    <x v="2"/>
    <x v="1"/>
    <n v="2.82"/>
    <x v="1"/>
    <n v="71.7"/>
    <n v="0.8"/>
    <x v="2"/>
    <n v="31"/>
    <n v="57"/>
    <n v="0.67"/>
    <n v="7"/>
    <n v="0.52"/>
    <x v="1"/>
  </r>
  <r>
    <s v="S648"/>
    <n v="648"/>
    <x v="7"/>
    <x v="1"/>
    <x v="3"/>
    <n v="3.44"/>
    <x v="0"/>
    <n v="81.8"/>
    <n v="0.67"/>
    <x v="1"/>
    <n v="6"/>
    <n v="15"/>
    <n v="0.88"/>
    <n v="18"/>
    <n v="0.84"/>
    <x v="0"/>
  </r>
  <r>
    <s v="S649"/>
    <n v="649"/>
    <x v="4"/>
    <x v="2"/>
    <x v="3"/>
    <n v="2.77"/>
    <x v="2"/>
    <n v="65.3"/>
    <n v="0.83"/>
    <x v="1"/>
    <n v="27"/>
    <n v="24"/>
    <n v="0.71"/>
    <n v="8"/>
    <n v="0.71"/>
    <x v="1"/>
  </r>
  <r>
    <s v="S650"/>
    <n v="650"/>
    <x v="2"/>
    <x v="2"/>
    <x v="3"/>
    <n v="2.98"/>
    <x v="3"/>
    <n v="87.7"/>
    <n v="0.85"/>
    <x v="0"/>
    <n v="17"/>
    <n v="24"/>
    <n v="0.92"/>
    <n v="3"/>
    <n v="0.56000000000000005"/>
    <x v="1"/>
  </r>
  <r>
    <s v="S651"/>
    <n v="651"/>
    <x v="0"/>
    <x v="0"/>
    <x v="3"/>
    <n v="2.86"/>
    <x v="0"/>
    <n v="91.8"/>
    <n v="0.82"/>
    <x v="2"/>
    <n v="4"/>
    <n v="70"/>
    <n v="0.94"/>
    <n v="15"/>
    <n v="0.71"/>
    <x v="1"/>
  </r>
  <r>
    <s v="S652"/>
    <n v="652"/>
    <x v="4"/>
    <x v="2"/>
    <x v="2"/>
    <n v="3.48"/>
    <x v="2"/>
    <n v="66.5"/>
    <n v="0.9"/>
    <x v="1"/>
    <n v="22"/>
    <n v="25"/>
    <n v="0.65"/>
    <n v="18"/>
    <n v="0.6"/>
    <x v="2"/>
  </r>
  <r>
    <s v="S653"/>
    <n v="653"/>
    <x v="0"/>
    <x v="2"/>
    <x v="1"/>
    <n v="3.73"/>
    <x v="0"/>
    <n v="64.2"/>
    <n v="0.73"/>
    <x v="0"/>
    <n v="21"/>
    <n v="29"/>
    <n v="0.91"/>
    <n v="9"/>
    <n v="0.71"/>
    <x v="0"/>
  </r>
  <r>
    <s v="S654"/>
    <n v="654"/>
    <x v="2"/>
    <x v="2"/>
    <x v="0"/>
    <n v="3.06"/>
    <x v="0"/>
    <n v="65.8"/>
    <n v="0.91"/>
    <x v="2"/>
    <n v="25"/>
    <n v="86"/>
    <n v="0.57999999999999996"/>
    <n v="5"/>
    <n v="0.69"/>
    <x v="2"/>
  </r>
  <r>
    <s v="S655"/>
    <n v="655"/>
    <x v="6"/>
    <x v="0"/>
    <x v="1"/>
    <n v="3.58"/>
    <x v="0"/>
    <n v="95.1"/>
    <n v="0.77"/>
    <x v="2"/>
    <n v="11"/>
    <n v="53"/>
    <n v="0.67"/>
    <n v="15"/>
    <n v="0.87"/>
    <x v="1"/>
  </r>
  <r>
    <s v="S656"/>
    <n v="656"/>
    <x v="2"/>
    <x v="1"/>
    <x v="2"/>
    <n v="2.59"/>
    <x v="0"/>
    <n v="81.099999999999994"/>
    <n v="0.79"/>
    <x v="1"/>
    <n v="39"/>
    <n v="51"/>
    <n v="0.76"/>
    <n v="9"/>
    <n v="0.89"/>
    <x v="1"/>
  </r>
  <r>
    <s v="S657"/>
    <n v="657"/>
    <x v="0"/>
    <x v="0"/>
    <x v="3"/>
    <n v="3.08"/>
    <x v="0"/>
    <n v="78.7"/>
    <n v="0.86"/>
    <x v="0"/>
    <n v="18"/>
    <n v="55"/>
    <n v="0.61"/>
    <n v="12"/>
    <n v="0.8"/>
    <x v="2"/>
  </r>
  <r>
    <s v="S658"/>
    <n v="658"/>
    <x v="3"/>
    <x v="0"/>
    <x v="2"/>
    <n v="2.69"/>
    <x v="2"/>
    <n v="64.3"/>
    <n v="0.61"/>
    <x v="1"/>
    <n v="0"/>
    <n v="43"/>
    <n v="0.79"/>
    <n v="8"/>
    <n v="0.51"/>
    <x v="0"/>
  </r>
  <r>
    <s v="S659"/>
    <n v="659"/>
    <x v="1"/>
    <x v="1"/>
    <x v="1"/>
    <n v="2.83"/>
    <x v="3"/>
    <n v="86"/>
    <n v="0.86"/>
    <x v="0"/>
    <n v="2"/>
    <n v="73"/>
    <n v="0.79"/>
    <n v="6"/>
    <n v="0.97"/>
    <x v="1"/>
  </r>
  <r>
    <s v="S660"/>
    <n v="660"/>
    <x v="5"/>
    <x v="0"/>
    <x v="0"/>
    <n v="3.46"/>
    <x v="3"/>
    <n v="94.7"/>
    <n v="0.85"/>
    <x v="2"/>
    <n v="26"/>
    <n v="38"/>
    <n v="0.6"/>
    <n v="3"/>
    <n v="0.84"/>
    <x v="2"/>
  </r>
  <r>
    <s v="S661"/>
    <n v="661"/>
    <x v="4"/>
    <x v="1"/>
    <x v="2"/>
    <n v="3.76"/>
    <x v="3"/>
    <n v="93.1"/>
    <n v="0.72"/>
    <x v="0"/>
    <n v="17"/>
    <n v="12"/>
    <n v="0.9"/>
    <n v="18"/>
    <n v="0.52"/>
    <x v="0"/>
  </r>
  <r>
    <s v="S662"/>
    <n v="662"/>
    <x v="3"/>
    <x v="0"/>
    <x v="0"/>
    <n v="2.2400000000000002"/>
    <x v="3"/>
    <n v="85"/>
    <n v="0.63"/>
    <x v="0"/>
    <n v="29"/>
    <n v="18"/>
    <n v="0.82"/>
    <n v="3"/>
    <n v="0.91"/>
    <x v="0"/>
  </r>
  <r>
    <s v="S663"/>
    <n v="663"/>
    <x v="2"/>
    <x v="1"/>
    <x v="2"/>
    <n v="3.27"/>
    <x v="2"/>
    <n v="63"/>
    <n v="0.64"/>
    <x v="0"/>
    <n v="1"/>
    <n v="84"/>
    <n v="0.66"/>
    <n v="18"/>
    <n v="0.6"/>
    <x v="0"/>
  </r>
  <r>
    <s v="S664"/>
    <n v="664"/>
    <x v="6"/>
    <x v="2"/>
    <x v="0"/>
    <n v="3.16"/>
    <x v="1"/>
    <n v="64.5"/>
    <n v="0.97"/>
    <x v="0"/>
    <n v="4"/>
    <n v="84"/>
    <n v="0.62"/>
    <n v="18"/>
    <n v="0.79"/>
    <x v="2"/>
  </r>
  <r>
    <s v="S665"/>
    <n v="665"/>
    <x v="7"/>
    <x v="0"/>
    <x v="0"/>
    <n v="2.2400000000000002"/>
    <x v="1"/>
    <n v="62"/>
    <n v="0.88"/>
    <x v="0"/>
    <n v="28"/>
    <n v="34"/>
    <n v="0.94"/>
    <n v="11"/>
    <n v="0.73"/>
    <x v="0"/>
  </r>
  <r>
    <s v="S666"/>
    <n v="666"/>
    <x v="2"/>
    <x v="0"/>
    <x v="3"/>
    <n v="2.42"/>
    <x v="2"/>
    <n v="70.3"/>
    <n v="0.65"/>
    <x v="1"/>
    <n v="32"/>
    <n v="51"/>
    <n v="0.92"/>
    <n v="12"/>
    <n v="0.71"/>
    <x v="0"/>
  </r>
  <r>
    <s v="S667"/>
    <n v="667"/>
    <x v="6"/>
    <x v="0"/>
    <x v="0"/>
    <n v="2.62"/>
    <x v="2"/>
    <n v="65.400000000000006"/>
    <n v="0.74"/>
    <x v="0"/>
    <n v="19"/>
    <n v="55"/>
    <n v="0.61"/>
    <n v="3"/>
    <n v="0.94"/>
    <x v="0"/>
  </r>
  <r>
    <s v="S668"/>
    <n v="668"/>
    <x v="1"/>
    <x v="0"/>
    <x v="3"/>
    <n v="2.33"/>
    <x v="0"/>
    <n v="70.400000000000006"/>
    <n v="0.84"/>
    <x v="0"/>
    <n v="29"/>
    <n v="82"/>
    <n v="0.52"/>
    <n v="9"/>
    <n v="0.72"/>
    <x v="0"/>
  </r>
  <r>
    <s v="S669"/>
    <n v="669"/>
    <x v="2"/>
    <x v="2"/>
    <x v="1"/>
    <n v="2.4900000000000002"/>
    <x v="0"/>
    <n v="75.400000000000006"/>
    <n v="0.93"/>
    <x v="2"/>
    <n v="4"/>
    <n v="68"/>
    <n v="0.9"/>
    <n v="6"/>
    <n v="0.54"/>
    <x v="0"/>
  </r>
  <r>
    <s v="S670"/>
    <n v="670"/>
    <x v="0"/>
    <x v="0"/>
    <x v="1"/>
    <n v="2.54"/>
    <x v="0"/>
    <n v="97.7"/>
    <n v="0.62"/>
    <x v="0"/>
    <n v="20"/>
    <n v="30"/>
    <n v="0.81"/>
    <n v="4"/>
    <n v="0.97"/>
    <x v="0"/>
  </r>
  <r>
    <s v="S671"/>
    <n v="671"/>
    <x v="7"/>
    <x v="2"/>
    <x v="3"/>
    <n v="2.67"/>
    <x v="3"/>
    <n v="84.4"/>
    <n v="0.69"/>
    <x v="2"/>
    <n v="14"/>
    <n v="83"/>
    <n v="0.55000000000000004"/>
    <n v="16"/>
    <n v="0.96"/>
    <x v="0"/>
  </r>
  <r>
    <s v="S672"/>
    <n v="672"/>
    <x v="6"/>
    <x v="2"/>
    <x v="3"/>
    <n v="3.5"/>
    <x v="0"/>
    <n v="93.4"/>
    <n v="0.96"/>
    <x v="1"/>
    <n v="19"/>
    <n v="31"/>
    <n v="0.79"/>
    <n v="17"/>
    <n v="0.84"/>
    <x v="2"/>
  </r>
  <r>
    <s v="S673"/>
    <n v="673"/>
    <x v="6"/>
    <x v="2"/>
    <x v="2"/>
    <n v="3.14"/>
    <x v="1"/>
    <n v="88.4"/>
    <n v="0.6"/>
    <x v="1"/>
    <n v="7"/>
    <n v="38"/>
    <n v="0.73"/>
    <n v="10"/>
    <n v="0.73"/>
    <x v="0"/>
  </r>
  <r>
    <s v="S674"/>
    <n v="674"/>
    <x v="6"/>
    <x v="2"/>
    <x v="2"/>
    <n v="3.97"/>
    <x v="3"/>
    <n v="64.5"/>
    <n v="0.68"/>
    <x v="0"/>
    <n v="30"/>
    <n v="72"/>
    <n v="0.89"/>
    <n v="14"/>
    <n v="0.55000000000000004"/>
    <x v="0"/>
  </r>
  <r>
    <s v="S675"/>
    <n v="675"/>
    <x v="1"/>
    <x v="1"/>
    <x v="2"/>
    <n v="2.83"/>
    <x v="0"/>
    <n v="89.4"/>
    <n v="0.98"/>
    <x v="1"/>
    <n v="11"/>
    <n v="82"/>
    <n v="0.6"/>
    <n v="6"/>
    <n v="0.9"/>
    <x v="1"/>
  </r>
  <r>
    <s v="S676"/>
    <n v="676"/>
    <x v="2"/>
    <x v="1"/>
    <x v="1"/>
    <n v="3.51"/>
    <x v="3"/>
    <n v="71"/>
    <n v="0.85"/>
    <x v="0"/>
    <n v="20"/>
    <n v="70"/>
    <n v="0.73"/>
    <n v="17"/>
    <n v="0.54"/>
    <x v="2"/>
  </r>
  <r>
    <s v="S677"/>
    <n v="677"/>
    <x v="1"/>
    <x v="0"/>
    <x v="2"/>
    <n v="3.74"/>
    <x v="1"/>
    <n v="85.6"/>
    <n v="0.7"/>
    <x v="1"/>
    <n v="29"/>
    <n v="73"/>
    <n v="0.57999999999999996"/>
    <n v="5"/>
    <n v="0.53"/>
    <x v="0"/>
  </r>
  <r>
    <s v="S678"/>
    <n v="678"/>
    <x v="4"/>
    <x v="1"/>
    <x v="0"/>
    <n v="3.36"/>
    <x v="0"/>
    <n v="73.599999999999994"/>
    <n v="0.63"/>
    <x v="0"/>
    <n v="26"/>
    <n v="78"/>
    <n v="0.98"/>
    <n v="17"/>
    <n v="0.77"/>
    <x v="0"/>
  </r>
  <r>
    <s v="S679"/>
    <n v="679"/>
    <x v="5"/>
    <x v="1"/>
    <x v="0"/>
    <n v="2.82"/>
    <x v="1"/>
    <n v="99.9"/>
    <n v="0.61"/>
    <x v="0"/>
    <n v="25"/>
    <n v="49"/>
    <n v="0.89"/>
    <n v="15"/>
    <n v="0.57999999999999996"/>
    <x v="0"/>
  </r>
  <r>
    <s v="S680"/>
    <n v="680"/>
    <x v="5"/>
    <x v="0"/>
    <x v="2"/>
    <n v="3.51"/>
    <x v="1"/>
    <n v="70.5"/>
    <n v="0.7"/>
    <x v="2"/>
    <n v="32"/>
    <n v="84"/>
    <n v="0.87"/>
    <n v="1"/>
    <n v="0.5"/>
    <x v="0"/>
  </r>
  <r>
    <s v="S681"/>
    <n v="681"/>
    <x v="4"/>
    <x v="0"/>
    <x v="0"/>
    <n v="2.41"/>
    <x v="1"/>
    <n v="71.2"/>
    <n v="0.95"/>
    <x v="2"/>
    <n v="25"/>
    <n v="10"/>
    <n v="0.85"/>
    <n v="18"/>
    <n v="0.71"/>
    <x v="0"/>
  </r>
  <r>
    <s v="S682"/>
    <n v="682"/>
    <x v="2"/>
    <x v="0"/>
    <x v="1"/>
    <n v="2.66"/>
    <x v="0"/>
    <n v="97.2"/>
    <n v="0.77"/>
    <x v="2"/>
    <n v="25"/>
    <n v="74"/>
    <n v="0.71"/>
    <n v="0"/>
    <n v="0.56999999999999995"/>
    <x v="1"/>
  </r>
  <r>
    <s v="S683"/>
    <n v="683"/>
    <x v="0"/>
    <x v="1"/>
    <x v="0"/>
    <n v="3.09"/>
    <x v="2"/>
    <n v="61"/>
    <n v="0.89"/>
    <x v="2"/>
    <n v="35"/>
    <n v="71"/>
    <n v="0.96"/>
    <n v="10"/>
    <n v="0.57999999999999996"/>
    <x v="2"/>
  </r>
  <r>
    <s v="S684"/>
    <n v="684"/>
    <x v="1"/>
    <x v="1"/>
    <x v="1"/>
    <n v="3.15"/>
    <x v="0"/>
    <n v="87.9"/>
    <n v="0.97"/>
    <x v="0"/>
    <n v="39"/>
    <n v="63"/>
    <n v="0.54"/>
    <n v="19"/>
    <n v="0.54"/>
    <x v="2"/>
  </r>
  <r>
    <s v="S685"/>
    <n v="685"/>
    <x v="7"/>
    <x v="0"/>
    <x v="3"/>
    <n v="2.04"/>
    <x v="1"/>
    <n v="89"/>
    <n v="0.76"/>
    <x v="1"/>
    <n v="0"/>
    <n v="69"/>
    <n v="0.9"/>
    <n v="4"/>
    <n v="0.6"/>
    <x v="0"/>
  </r>
  <r>
    <s v="S686"/>
    <n v="686"/>
    <x v="6"/>
    <x v="2"/>
    <x v="3"/>
    <n v="3.89"/>
    <x v="0"/>
    <n v="93.5"/>
    <n v="0.68"/>
    <x v="0"/>
    <n v="14"/>
    <n v="55"/>
    <n v="0.61"/>
    <n v="15"/>
    <n v="0.86"/>
    <x v="0"/>
  </r>
  <r>
    <s v="S687"/>
    <n v="687"/>
    <x v="6"/>
    <x v="0"/>
    <x v="3"/>
    <n v="3.39"/>
    <x v="1"/>
    <n v="99"/>
    <n v="0.81"/>
    <x v="2"/>
    <n v="0"/>
    <n v="14"/>
    <n v="0.66"/>
    <n v="0"/>
    <n v="0.9"/>
    <x v="1"/>
  </r>
  <r>
    <s v="S688"/>
    <n v="688"/>
    <x v="2"/>
    <x v="2"/>
    <x v="3"/>
    <n v="2.99"/>
    <x v="2"/>
    <n v="99"/>
    <n v="0.96"/>
    <x v="2"/>
    <n v="10"/>
    <n v="31"/>
    <n v="0.76"/>
    <n v="18"/>
    <n v="0.73"/>
    <x v="1"/>
  </r>
  <r>
    <s v="S689"/>
    <n v="689"/>
    <x v="0"/>
    <x v="2"/>
    <x v="0"/>
    <n v="3.87"/>
    <x v="3"/>
    <n v="62.6"/>
    <n v="0.92"/>
    <x v="1"/>
    <n v="1"/>
    <n v="62"/>
    <n v="0.89"/>
    <n v="13"/>
    <n v="0.75"/>
    <x v="2"/>
  </r>
  <r>
    <s v="S690"/>
    <n v="690"/>
    <x v="5"/>
    <x v="0"/>
    <x v="2"/>
    <n v="2.88"/>
    <x v="2"/>
    <n v="92.9"/>
    <n v="0.63"/>
    <x v="2"/>
    <n v="0"/>
    <n v="79"/>
    <n v="0.92"/>
    <n v="2"/>
    <n v="0.52"/>
    <x v="0"/>
  </r>
  <r>
    <s v="S691"/>
    <n v="691"/>
    <x v="5"/>
    <x v="0"/>
    <x v="0"/>
    <n v="3.96"/>
    <x v="2"/>
    <n v="85.9"/>
    <n v="0.88"/>
    <x v="0"/>
    <n v="30"/>
    <n v="41"/>
    <n v="0.79"/>
    <n v="1"/>
    <n v="0.53"/>
    <x v="2"/>
  </r>
  <r>
    <s v="S692"/>
    <n v="692"/>
    <x v="6"/>
    <x v="0"/>
    <x v="1"/>
    <n v="3.02"/>
    <x v="3"/>
    <n v="85.9"/>
    <n v="0.83"/>
    <x v="0"/>
    <n v="15"/>
    <n v="20"/>
    <n v="0.7"/>
    <n v="4"/>
    <n v="0.63"/>
    <x v="1"/>
  </r>
  <r>
    <s v="S693"/>
    <n v="693"/>
    <x v="2"/>
    <x v="1"/>
    <x v="0"/>
    <n v="2.23"/>
    <x v="0"/>
    <n v="65.099999999999994"/>
    <n v="0.96"/>
    <x v="0"/>
    <n v="21"/>
    <n v="19"/>
    <n v="0.97"/>
    <n v="16"/>
    <n v="0.77"/>
    <x v="0"/>
  </r>
  <r>
    <s v="S694"/>
    <n v="694"/>
    <x v="1"/>
    <x v="2"/>
    <x v="0"/>
    <n v="3.53"/>
    <x v="3"/>
    <n v="86"/>
    <n v="0.65"/>
    <x v="0"/>
    <n v="17"/>
    <n v="48"/>
    <n v="0.62"/>
    <n v="17"/>
    <n v="0.87"/>
    <x v="0"/>
  </r>
  <r>
    <s v="S695"/>
    <n v="695"/>
    <x v="5"/>
    <x v="1"/>
    <x v="1"/>
    <n v="3.36"/>
    <x v="0"/>
    <n v="99.3"/>
    <n v="0.81"/>
    <x v="0"/>
    <n v="16"/>
    <n v="40"/>
    <n v="0.9"/>
    <n v="0"/>
    <n v="0.8"/>
    <x v="1"/>
  </r>
  <r>
    <s v="S696"/>
    <n v="696"/>
    <x v="1"/>
    <x v="1"/>
    <x v="3"/>
    <n v="3.55"/>
    <x v="0"/>
    <n v="96.5"/>
    <n v="0.95"/>
    <x v="1"/>
    <n v="29"/>
    <n v="21"/>
    <n v="0.81"/>
    <n v="14"/>
    <n v="0.7"/>
    <x v="2"/>
  </r>
  <r>
    <s v="S697"/>
    <n v="697"/>
    <x v="0"/>
    <x v="0"/>
    <x v="3"/>
    <n v="3.9"/>
    <x v="1"/>
    <n v="77.599999999999994"/>
    <n v="0.76"/>
    <x v="0"/>
    <n v="9"/>
    <n v="89"/>
    <n v="0.69"/>
    <n v="8"/>
    <n v="0.56000000000000005"/>
    <x v="1"/>
  </r>
  <r>
    <s v="S698"/>
    <n v="698"/>
    <x v="5"/>
    <x v="1"/>
    <x v="3"/>
    <n v="3.55"/>
    <x v="1"/>
    <n v="61.6"/>
    <n v="0.79"/>
    <x v="2"/>
    <n v="34"/>
    <n v="47"/>
    <n v="0.5"/>
    <n v="4"/>
    <n v="0.89"/>
    <x v="1"/>
  </r>
  <r>
    <s v="S699"/>
    <n v="699"/>
    <x v="5"/>
    <x v="0"/>
    <x v="2"/>
    <n v="3.22"/>
    <x v="3"/>
    <n v="74.5"/>
    <n v="0.63"/>
    <x v="2"/>
    <n v="20"/>
    <n v="76"/>
    <n v="0.72"/>
    <n v="12"/>
    <n v="0.68"/>
    <x v="0"/>
  </r>
  <r>
    <s v="S700"/>
    <n v="700"/>
    <x v="3"/>
    <x v="2"/>
    <x v="1"/>
    <n v="3.71"/>
    <x v="2"/>
    <n v="93.1"/>
    <n v="0.71"/>
    <x v="2"/>
    <n v="15"/>
    <n v="75"/>
    <n v="0.64"/>
    <n v="18"/>
    <n v="0.87"/>
    <x v="0"/>
  </r>
  <r>
    <s v="S701"/>
    <n v="701"/>
    <x v="5"/>
    <x v="0"/>
    <x v="1"/>
    <n v="3.35"/>
    <x v="3"/>
    <n v="88.1"/>
    <n v="0.73"/>
    <x v="2"/>
    <n v="5"/>
    <n v="61"/>
    <n v="0.55000000000000004"/>
    <n v="9"/>
    <n v="0.76"/>
    <x v="0"/>
  </r>
  <r>
    <s v="S702"/>
    <n v="702"/>
    <x v="4"/>
    <x v="1"/>
    <x v="0"/>
    <n v="2.82"/>
    <x v="0"/>
    <n v="78.400000000000006"/>
    <n v="0.98"/>
    <x v="1"/>
    <n v="2"/>
    <n v="14"/>
    <n v="0.54"/>
    <n v="19"/>
    <n v="0.87"/>
    <x v="1"/>
  </r>
  <r>
    <s v="S703"/>
    <n v="703"/>
    <x v="7"/>
    <x v="1"/>
    <x v="2"/>
    <n v="3.77"/>
    <x v="1"/>
    <n v="62.2"/>
    <n v="0.71"/>
    <x v="2"/>
    <n v="20"/>
    <n v="20"/>
    <n v="0.67"/>
    <n v="13"/>
    <n v="0.95"/>
    <x v="0"/>
  </r>
  <r>
    <s v="S704"/>
    <n v="704"/>
    <x v="4"/>
    <x v="0"/>
    <x v="3"/>
    <n v="2.44"/>
    <x v="3"/>
    <n v="77.099999999999994"/>
    <n v="0.78"/>
    <x v="1"/>
    <n v="12"/>
    <n v="34"/>
    <n v="0.81"/>
    <n v="11"/>
    <n v="0.96"/>
    <x v="0"/>
  </r>
  <r>
    <s v="S705"/>
    <n v="705"/>
    <x v="2"/>
    <x v="0"/>
    <x v="2"/>
    <n v="3.43"/>
    <x v="3"/>
    <n v="78.8"/>
    <n v="0.87"/>
    <x v="2"/>
    <n v="17"/>
    <n v="44"/>
    <n v="0.92"/>
    <n v="10"/>
    <n v="0.77"/>
    <x v="2"/>
  </r>
  <r>
    <s v="S706"/>
    <n v="706"/>
    <x v="2"/>
    <x v="1"/>
    <x v="1"/>
    <n v="3.76"/>
    <x v="1"/>
    <n v="97.1"/>
    <n v="0.66"/>
    <x v="1"/>
    <n v="23"/>
    <n v="44"/>
    <n v="0.59"/>
    <n v="6"/>
    <n v="0.76"/>
    <x v="0"/>
  </r>
  <r>
    <s v="S707"/>
    <n v="707"/>
    <x v="1"/>
    <x v="2"/>
    <x v="1"/>
    <n v="3.46"/>
    <x v="1"/>
    <n v="85.6"/>
    <n v="0.79"/>
    <x v="1"/>
    <n v="26"/>
    <n v="31"/>
    <n v="0.71"/>
    <n v="16"/>
    <n v="0.63"/>
    <x v="1"/>
  </r>
  <r>
    <s v="S708"/>
    <n v="708"/>
    <x v="4"/>
    <x v="2"/>
    <x v="0"/>
    <n v="3.39"/>
    <x v="1"/>
    <n v="72.5"/>
    <n v="0.9"/>
    <x v="1"/>
    <n v="3"/>
    <n v="46"/>
    <n v="0.7"/>
    <n v="17"/>
    <n v="0.97"/>
    <x v="2"/>
  </r>
  <r>
    <s v="S709"/>
    <n v="709"/>
    <x v="4"/>
    <x v="0"/>
    <x v="0"/>
    <n v="3.51"/>
    <x v="0"/>
    <n v="81"/>
    <n v="0.95"/>
    <x v="2"/>
    <n v="21"/>
    <n v="64"/>
    <n v="0.76"/>
    <n v="6"/>
    <n v="0.73"/>
    <x v="2"/>
  </r>
  <r>
    <s v="S710"/>
    <n v="710"/>
    <x v="4"/>
    <x v="2"/>
    <x v="1"/>
    <n v="2.93"/>
    <x v="1"/>
    <n v="62.6"/>
    <n v="0.85"/>
    <x v="1"/>
    <n v="23"/>
    <n v="84"/>
    <n v="0.9"/>
    <n v="19"/>
    <n v="0.56000000000000005"/>
    <x v="1"/>
  </r>
  <r>
    <s v="S711"/>
    <n v="711"/>
    <x v="0"/>
    <x v="1"/>
    <x v="3"/>
    <n v="3.75"/>
    <x v="2"/>
    <n v="98.9"/>
    <n v="0.87"/>
    <x v="0"/>
    <n v="39"/>
    <n v="81"/>
    <n v="0.78"/>
    <n v="5"/>
    <n v="0.72"/>
    <x v="2"/>
  </r>
  <r>
    <s v="S712"/>
    <n v="712"/>
    <x v="5"/>
    <x v="0"/>
    <x v="3"/>
    <n v="2.41"/>
    <x v="3"/>
    <n v="74.400000000000006"/>
    <n v="0.65"/>
    <x v="0"/>
    <n v="9"/>
    <n v="73"/>
    <n v="0.92"/>
    <n v="10"/>
    <n v="0.56000000000000005"/>
    <x v="0"/>
  </r>
  <r>
    <s v="S713"/>
    <n v="713"/>
    <x v="7"/>
    <x v="1"/>
    <x v="2"/>
    <n v="2.25"/>
    <x v="1"/>
    <n v="79.099999999999994"/>
    <n v="0.98"/>
    <x v="2"/>
    <n v="1"/>
    <n v="29"/>
    <n v="0.76"/>
    <n v="11"/>
    <n v="0.75"/>
    <x v="0"/>
  </r>
  <r>
    <s v="S714"/>
    <n v="714"/>
    <x v="1"/>
    <x v="1"/>
    <x v="1"/>
    <n v="2.57"/>
    <x v="1"/>
    <n v="74.2"/>
    <n v="0.65"/>
    <x v="0"/>
    <n v="39"/>
    <n v="13"/>
    <n v="0.8"/>
    <n v="15"/>
    <n v="0.78"/>
    <x v="0"/>
  </r>
  <r>
    <s v="S715"/>
    <n v="715"/>
    <x v="4"/>
    <x v="2"/>
    <x v="1"/>
    <n v="3.06"/>
    <x v="0"/>
    <n v="87.3"/>
    <n v="0.91"/>
    <x v="0"/>
    <n v="5"/>
    <n v="27"/>
    <n v="0.72"/>
    <n v="18"/>
    <n v="0.67"/>
    <x v="2"/>
  </r>
  <r>
    <s v="S716"/>
    <n v="716"/>
    <x v="4"/>
    <x v="0"/>
    <x v="3"/>
    <n v="3.02"/>
    <x v="0"/>
    <n v="86.5"/>
    <n v="0.71"/>
    <x v="0"/>
    <n v="17"/>
    <n v="60"/>
    <n v="0.91"/>
    <n v="18"/>
    <n v="0.54"/>
    <x v="0"/>
  </r>
  <r>
    <s v="S717"/>
    <n v="717"/>
    <x v="3"/>
    <x v="0"/>
    <x v="3"/>
    <n v="3.64"/>
    <x v="3"/>
    <n v="88.6"/>
    <n v="0.97"/>
    <x v="2"/>
    <n v="16"/>
    <n v="77"/>
    <n v="0.96"/>
    <n v="10"/>
    <n v="0.97"/>
    <x v="2"/>
  </r>
  <r>
    <s v="S718"/>
    <n v="718"/>
    <x v="1"/>
    <x v="2"/>
    <x v="1"/>
    <n v="2.81"/>
    <x v="2"/>
    <n v="70.7"/>
    <n v="0.89"/>
    <x v="2"/>
    <n v="37"/>
    <n v="29"/>
    <n v="0.82"/>
    <n v="15"/>
    <n v="0.89"/>
    <x v="1"/>
  </r>
  <r>
    <s v="S719"/>
    <n v="719"/>
    <x v="4"/>
    <x v="1"/>
    <x v="0"/>
    <n v="2.97"/>
    <x v="3"/>
    <n v="72.599999999999994"/>
    <n v="0.9"/>
    <x v="0"/>
    <n v="22"/>
    <n v="18"/>
    <n v="0.91"/>
    <n v="11"/>
    <n v="0.92"/>
    <x v="1"/>
  </r>
  <r>
    <s v="S720"/>
    <n v="720"/>
    <x v="1"/>
    <x v="1"/>
    <x v="1"/>
    <n v="2.0299999999999998"/>
    <x v="1"/>
    <n v="65"/>
    <n v="0.69"/>
    <x v="2"/>
    <n v="29"/>
    <n v="89"/>
    <n v="0.53"/>
    <n v="7"/>
    <n v="0.68"/>
    <x v="0"/>
  </r>
  <r>
    <s v="S721"/>
    <n v="721"/>
    <x v="5"/>
    <x v="1"/>
    <x v="1"/>
    <n v="2.82"/>
    <x v="2"/>
    <n v="86.2"/>
    <n v="0.78"/>
    <x v="1"/>
    <n v="20"/>
    <n v="35"/>
    <n v="0.95"/>
    <n v="2"/>
    <n v="0.88"/>
    <x v="1"/>
  </r>
  <r>
    <s v="S722"/>
    <n v="722"/>
    <x v="3"/>
    <x v="1"/>
    <x v="3"/>
    <n v="3.3"/>
    <x v="2"/>
    <n v="61.6"/>
    <n v="0.85"/>
    <x v="0"/>
    <n v="9"/>
    <n v="34"/>
    <n v="0.59"/>
    <n v="1"/>
    <n v="0.74"/>
    <x v="2"/>
  </r>
  <r>
    <s v="S723"/>
    <n v="723"/>
    <x v="1"/>
    <x v="0"/>
    <x v="3"/>
    <n v="2.0299999999999998"/>
    <x v="2"/>
    <n v="83.9"/>
    <n v="0.91"/>
    <x v="2"/>
    <n v="12"/>
    <n v="77"/>
    <n v="0.63"/>
    <n v="5"/>
    <n v="0.6"/>
    <x v="0"/>
  </r>
  <r>
    <s v="S724"/>
    <n v="724"/>
    <x v="7"/>
    <x v="0"/>
    <x v="0"/>
    <n v="2.56"/>
    <x v="2"/>
    <n v="94.8"/>
    <n v="0.64"/>
    <x v="2"/>
    <n v="11"/>
    <n v="50"/>
    <n v="0.53"/>
    <n v="15"/>
    <n v="0.56000000000000005"/>
    <x v="0"/>
  </r>
  <r>
    <s v="S725"/>
    <n v="725"/>
    <x v="7"/>
    <x v="2"/>
    <x v="0"/>
    <n v="2.42"/>
    <x v="3"/>
    <n v="95.6"/>
    <n v="0.98"/>
    <x v="0"/>
    <n v="8"/>
    <n v="68"/>
    <n v="0.98"/>
    <n v="19"/>
    <n v="0.67"/>
    <x v="0"/>
  </r>
  <r>
    <s v="S726"/>
    <n v="726"/>
    <x v="2"/>
    <x v="2"/>
    <x v="2"/>
    <n v="2.08"/>
    <x v="0"/>
    <n v="78"/>
    <n v="0.96"/>
    <x v="2"/>
    <n v="3"/>
    <n v="54"/>
    <n v="0.93"/>
    <n v="14"/>
    <n v="0.56999999999999995"/>
    <x v="0"/>
  </r>
  <r>
    <s v="S727"/>
    <n v="727"/>
    <x v="3"/>
    <x v="0"/>
    <x v="1"/>
    <n v="2.96"/>
    <x v="0"/>
    <n v="78.400000000000006"/>
    <n v="0.71"/>
    <x v="0"/>
    <n v="38"/>
    <n v="50"/>
    <n v="0.96"/>
    <n v="13"/>
    <n v="1"/>
    <x v="0"/>
  </r>
  <r>
    <s v="S728"/>
    <n v="728"/>
    <x v="3"/>
    <x v="0"/>
    <x v="3"/>
    <n v="2.36"/>
    <x v="1"/>
    <n v="63.1"/>
    <n v="0.93"/>
    <x v="2"/>
    <n v="23"/>
    <n v="47"/>
    <n v="0.92"/>
    <n v="1"/>
    <n v="0.52"/>
    <x v="0"/>
  </r>
  <r>
    <s v="S729"/>
    <n v="729"/>
    <x v="2"/>
    <x v="1"/>
    <x v="0"/>
    <n v="3.49"/>
    <x v="0"/>
    <n v="86.8"/>
    <n v="0.81"/>
    <x v="1"/>
    <n v="33"/>
    <n v="28"/>
    <n v="0.74"/>
    <n v="19"/>
    <n v="0.72"/>
    <x v="1"/>
  </r>
  <r>
    <s v="S730"/>
    <n v="730"/>
    <x v="1"/>
    <x v="1"/>
    <x v="2"/>
    <n v="3.7"/>
    <x v="0"/>
    <n v="92.9"/>
    <n v="0.78"/>
    <x v="0"/>
    <n v="38"/>
    <n v="23"/>
    <n v="0.96"/>
    <n v="17"/>
    <n v="0.73"/>
    <x v="1"/>
  </r>
  <r>
    <s v="S731"/>
    <n v="731"/>
    <x v="3"/>
    <x v="2"/>
    <x v="2"/>
    <n v="3.09"/>
    <x v="0"/>
    <n v="69.8"/>
    <n v="0.73"/>
    <x v="1"/>
    <n v="4"/>
    <n v="30"/>
    <n v="0.98"/>
    <n v="13"/>
    <n v="0.65"/>
    <x v="0"/>
  </r>
  <r>
    <s v="S732"/>
    <n v="732"/>
    <x v="7"/>
    <x v="0"/>
    <x v="3"/>
    <n v="3.96"/>
    <x v="0"/>
    <n v="76.900000000000006"/>
    <n v="0.83"/>
    <x v="0"/>
    <n v="14"/>
    <n v="24"/>
    <n v="0.75"/>
    <n v="17"/>
    <n v="0.79"/>
    <x v="1"/>
  </r>
  <r>
    <s v="S733"/>
    <n v="733"/>
    <x v="7"/>
    <x v="2"/>
    <x v="3"/>
    <n v="2.9"/>
    <x v="1"/>
    <n v="93.6"/>
    <n v="0.89"/>
    <x v="2"/>
    <n v="3"/>
    <n v="12"/>
    <n v="0.59"/>
    <n v="1"/>
    <n v="0.56999999999999995"/>
    <x v="1"/>
  </r>
  <r>
    <s v="S734"/>
    <n v="734"/>
    <x v="4"/>
    <x v="0"/>
    <x v="2"/>
    <n v="3.03"/>
    <x v="3"/>
    <n v="95.1"/>
    <n v="0.76"/>
    <x v="1"/>
    <n v="38"/>
    <n v="46"/>
    <n v="0.83"/>
    <n v="0"/>
    <n v="0.89"/>
    <x v="1"/>
  </r>
  <r>
    <s v="S735"/>
    <n v="735"/>
    <x v="5"/>
    <x v="1"/>
    <x v="0"/>
    <n v="3.98"/>
    <x v="2"/>
    <n v="69.7"/>
    <n v="0.85"/>
    <x v="2"/>
    <n v="7"/>
    <n v="55"/>
    <n v="0.99"/>
    <n v="19"/>
    <n v="0.67"/>
    <x v="2"/>
  </r>
  <r>
    <s v="S736"/>
    <n v="736"/>
    <x v="3"/>
    <x v="2"/>
    <x v="2"/>
    <n v="2.46"/>
    <x v="0"/>
    <n v="82"/>
    <n v="0.88"/>
    <x v="0"/>
    <n v="23"/>
    <n v="25"/>
    <n v="0.94"/>
    <n v="1"/>
    <n v="0.8"/>
    <x v="0"/>
  </r>
  <r>
    <s v="S737"/>
    <n v="737"/>
    <x v="1"/>
    <x v="2"/>
    <x v="1"/>
    <n v="3.89"/>
    <x v="3"/>
    <n v="67.7"/>
    <n v="0.88"/>
    <x v="0"/>
    <n v="27"/>
    <n v="23"/>
    <n v="0.93"/>
    <n v="8"/>
    <n v="0.86"/>
    <x v="2"/>
  </r>
  <r>
    <s v="S738"/>
    <n v="738"/>
    <x v="2"/>
    <x v="0"/>
    <x v="1"/>
    <n v="2.09"/>
    <x v="0"/>
    <n v="64.099999999999994"/>
    <n v="0.62"/>
    <x v="0"/>
    <n v="26"/>
    <n v="18"/>
    <n v="0.97"/>
    <n v="8"/>
    <n v="0.94"/>
    <x v="0"/>
  </r>
  <r>
    <s v="S739"/>
    <n v="739"/>
    <x v="2"/>
    <x v="1"/>
    <x v="3"/>
    <n v="2.89"/>
    <x v="0"/>
    <n v="96.4"/>
    <n v="0.94"/>
    <x v="0"/>
    <n v="0"/>
    <n v="16"/>
    <n v="0.95"/>
    <n v="15"/>
    <n v="0.92"/>
    <x v="1"/>
  </r>
  <r>
    <s v="S740"/>
    <n v="740"/>
    <x v="1"/>
    <x v="2"/>
    <x v="0"/>
    <n v="2.14"/>
    <x v="2"/>
    <n v="92.8"/>
    <n v="0.78"/>
    <x v="0"/>
    <n v="33"/>
    <n v="23"/>
    <n v="0.89"/>
    <n v="10"/>
    <n v="0.8"/>
    <x v="0"/>
  </r>
  <r>
    <s v="S741"/>
    <n v="741"/>
    <x v="0"/>
    <x v="1"/>
    <x v="0"/>
    <n v="3.46"/>
    <x v="2"/>
    <n v="90.4"/>
    <n v="0.7"/>
    <x v="1"/>
    <n v="16"/>
    <n v="15"/>
    <n v="0.86"/>
    <n v="5"/>
    <n v="0.69"/>
    <x v="0"/>
  </r>
  <r>
    <s v="S742"/>
    <n v="742"/>
    <x v="6"/>
    <x v="2"/>
    <x v="1"/>
    <n v="3.22"/>
    <x v="2"/>
    <n v="62"/>
    <n v="0.7"/>
    <x v="0"/>
    <n v="36"/>
    <n v="24"/>
    <n v="0.63"/>
    <n v="11"/>
    <n v="0.75"/>
    <x v="0"/>
  </r>
  <r>
    <s v="S743"/>
    <n v="743"/>
    <x v="5"/>
    <x v="1"/>
    <x v="2"/>
    <n v="3.41"/>
    <x v="0"/>
    <n v="93.7"/>
    <n v="0.79"/>
    <x v="2"/>
    <n v="37"/>
    <n v="61"/>
    <n v="0.81"/>
    <n v="2"/>
    <n v="0.88"/>
    <x v="1"/>
  </r>
  <r>
    <s v="S744"/>
    <n v="744"/>
    <x v="2"/>
    <x v="0"/>
    <x v="3"/>
    <n v="2.75"/>
    <x v="0"/>
    <n v="77.5"/>
    <n v="0.95"/>
    <x v="1"/>
    <n v="25"/>
    <n v="81"/>
    <n v="0.76"/>
    <n v="11"/>
    <n v="0.94"/>
    <x v="1"/>
  </r>
  <r>
    <s v="S745"/>
    <n v="745"/>
    <x v="3"/>
    <x v="2"/>
    <x v="2"/>
    <n v="2.74"/>
    <x v="0"/>
    <n v="73.7"/>
    <n v="0.75"/>
    <x v="2"/>
    <n v="23"/>
    <n v="43"/>
    <n v="0.93"/>
    <n v="0"/>
    <n v="0.55000000000000004"/>
    <x v="1"/>
  </r>
  <r>
    <s v="S746"/>
    <n v="746"/>
    <x v="5"/>
    <x v="2"/>
    <x v="2"/>
    <n v="2.09"/>
    <x v="2"/>
    <n v="81.900000000000006"/>
    <n v="0.9"/>
    <x v="0"/>
    <n v="38"/>
    <n v="10"/>
    <n v="0.75"/>
    <n v="8"/>
    <n v="0.69"/>
    <x v="0"/>
  </r>
  <r>
    <s v="S747"/>
    <n v="747"/>
    <x v="3"/>
    <x v="1"/>
    <x v="2"/>
    <n v="2.7"/>
    <x v="1"/>
    <n v="63.7"/>
    <n v="0.64"/>
    <x v="2"/>
    <n v="20"/>
    <n v="78"/>
    <n v="0.56000000000000005"/>
    <n v="19"/>
    <n v="0.89"/>
    <x v="0"/>
  </r>
  <r>
    <s v="S748"/>
    <n v="748"/>
    <x v="0"/>
    <x v="1"/>
    <x v="0"/>
    <n v="3.86"/>
    <x v="3"/>
    <n v="90.3"/>
    <n v="0.79"/>
    <x v="1"/>
    <n v="29"/>
    <n v="29"/>
    <n v="0.5"/>
    <n v="5"/>
    <n v="0.72"/>
    <x v="1"/>
  </r>
  <r>
    <s v="S749"/>
    <n v="749"/>
    <x v="7"/>
    <x v="2"/>
    <x v="1"/>
    <n v="2.76"/>
    <x v="1"/>
    <n v="83.3"/>
    <n v="1"/>
    <x v="1"/>
    <n v="12"/>
    <n v="89"/>
    <n v="0.84"/>
    <n v="10"/>
    <n v="0.67"/>
    <x v="1"/>
  </r>
  <r>
    <s v="S750"/>
    <n v="750"/>
    <x v="5"/>
    <x v="0"/>
    <x v="0"/>
    <n v="3.66"/>
    <x v="0"/>
    <n v="67.5"/>
    <n v="0.91"/>
    <x v="1"/>
    <n v="36"/>
    <n v="16"/>
    <n v="0.77"/>
    <n v="2"/>
    <n v="0.71"/>
    <x v="2"/>
  </r>
  <r>
    <s v="S751"/>
    <n v="751"/>
    <x v="4"/>
    <x v="1"/>
    <x v="1"/>
    <n v="3.68"/>
    <x v="0"/>
    <n v="67.5"/>
    <n v="0.68"/>
    <x v="2"/>
    <n v="2"/>
    <n v="16"/>
    <n v="0.67"/>
    <n v="3"/>
    <n v="0.8"/>
    <x v="0"/>
  </r>
  <r>
    <s v="S752"/>
    <n v="752"/>
    <x v="2"/>
    <x v="1"/>
    <x v="3"/>
    <n v="2.75"/>
    <x v="1"/>
    <n v="67.400000000000006"/>
    <n v="0.8"/>
    <x v="1"/>
    <n v="31"/>
    <n v="59"/>
    <n v="0.57999999999999996"/>
    <n v="9"/>
    <n v="1"/>
    <x v="1"/>
  </r>
  <r>
    <s v="S753"/>
    <n v="753"/>
    <x v="5"/>
    <x v="1"/>
    <x v="3"/>
    <n v="3.26"/>
    <x v="0"/>
    <n v="62.3"/>
    <n v="0.69"/>
    <x v="2"/>
    <n v="34"/>
    <n v="11"/>
    <n v="0.73"/>
    <n v="18"/>
    <n v="0.75"/>
    <x v="0"/>
  </r>
  <r>
    <s v="S754"/>
    <n v="754"/>
    <x v="5"/>
    <x v="2"/>
    <x v="2"/>
    <n v="2.19"/>
    <x v="3"/>
    <n v="83.5"/>
    <n v="0.76"/>
    <x v="0"/>
    <n v="18"/>
    <n v="56"/>
    <n v="0.55000000000000004"/>
    <n v="5"/>
    <n v="0.6"/>
    <x v="0"/>
  </r>
  <r>
    <s v="S755"/>
    <n v="755"/>
    <x v="5"/>
    <x v="2"/>
    <x v="1"/>
    <n v="2.21"/>
    <x v="0"/>
    <n v="93.6"/>
    <n v="0.91"/>
    <x v="0"/>
    <n v="13"/>
    <n v="23"/>
    <n v="0.67"/>
    <n v="0"/>
    <n v="0.57999999999999996"/>
    <x v="0"/>
  </r>
  <r>
    <s v="S756"/>
    <n v="756"/>
    <x v="6"/>
    <x v="2"/>
    <x v="1"/>
    <n v="2.1"/>
    <x v="3"/>
    <n v="60.7"/>
    <n v="0.91"/>
    <x v="2"/>
    <n v="21"/>
    <n v="40"/>
    <n v="0.69"/>
    <n v="7"/>
    <n v="0.52"/>
    <x v="0"/>
  </r>
  <r>
    <s v="S757"/>
    <n v="757"/>
    <x v="5"/>
    <x v="2"/>
    <x v="1"/>
    <n v="3.16"/>
    <x v="1"/>
    <n v="62"/>
    <n v="0.69"/>
    <x v="1"/>
    <n v="16"/>
    <n v="59"/>
    <n v="0.73"/>
    <n v="7"/>
    <n v="0.78"/>
    <x v="0"/>
  </r>
  <r>
    <s v="S758"/>
    <n v="758"/>
    <x v="3"/>
    <x v="0"/>
    <x v="2"/>
    <n v="2.85"/>
    <x v="1"/>
    <n v="82.9"/>
    <n v="0.97"/>
    <x v="2"/>
    <n v="3"/>
    <n v="70"/>
    <n v="0.73"/>
    <n v="5"/>
    <n v="0.77"/>
    <x v="1"/>
  </r>
  <r>
    <s v="S759"/>
    <n v="759"/>
    <x v="7"/>
    <x v="0"/>
    <x v="2"/>
    <n v="3.1"/>
    <x v="0"/>
    <n v="92.8"/>
    <n v="0.84"/>
    <x v="2"/>
    <n v="39"/>
    <n v="50"/>
    <n v="0.63"/>
    <n v="16"/>
    <n v="0.6"/>
    <x v="1"/>
  </r>
  <r>
    <s v="S760"/>
    <n v="760"/>
    <x v="0"/>
    <x v="2"/>
    <x v="3"/>
    <n v="3.04"/>
    <x v="3"/>
    <n v="73.099999999999994"/>
    <n v="0.75"/>
    <x v="2"/>
    <n v="18"/>
    <n v="23"/>
    <n v="0.93"/>
    <n v="18"/>
    <n v="0.85"/>
    <x v="1"/>
  </r>
  <r>
    <s v="S761"/>
    <n v="761"/>
    <x v="1"/>
    <x v="0"/>
    <x v="0"/>
    <n v="2.7"/>
    <x v="0"/>
    <n v="74"/>
    <n v="0.8"/>
    <x v="0"/>
    <n v="36"/>
    <n v="14"/>
    <n v="0.68"/>
    <n v="0"/>
    <n v="0.87"/>
    <x v="1"/>
  </r>
  <r>
    <s v="S762"/>
    <n v="762"/>
    <x v="5"/>
    <x v="1"/>
    <x v="1"/>
    <n v="3.35"/>
    <x v="2"/>
    <n v="83.9"/>
    <n v="0.84"/>
    <x v="2"/>
    <n v="1"/>
    <n v="84"/>
    <n v="0.61"/>
    <n v="14"/>
    <n v="0.63"/>
    <x v="1"/>
  </r>
  <r>
    <s v="S763"/>
    <n v="763"/>
    <x v="2"/>
    <x v="1"/>
    <x v="1"/>
    <n v="3.52"/>
    <x v="2"/>
    <n v="71"/>
    <n v="0.82"/>
    <x v="0"/>
    <n v="14"/>
    <n v="14"/>
    <n v="0.59"/>
    <n v="12"/>
    <n v="0.67"/>
    <x v="1"/>
  </r>
  <r>
    <s v="S764"/>
    <n v="764"/>
    <x v="5"/>
    <x v="1"/>
    <x v="0"/>
    <n v="2.0299999999999998"/>
    <x v="2"/>
    <n v="61.1"/>
    <n v="0.79"/>
    <x v="2"/>
    <n v="1"/>
    <n v="73"/>
    <n v="0.66"/>
    <n v="2"/>
    <n v="1"/>
    <x v="0"/>
  </r>
  <r>
    <s v="S765"/>
    <n v="765"/>
    <x v="2"/>
    <x v="2"/>
    <x v="1"/>
    <n v="2.41"/>
    <x v="2"/>
    <n v="89.4"/>
    <n v="0.8"/>
    <x v="0"/>
    <n v="10"/>
    <n v="38"/>
    <n v="0.53"/>
    <n v="1"/>
    <n v="0.69"/>
    <x v="0"/>
  </r>
  <r>
    <s v="S766"/>
    <n v="766"/>
    <x v="3"/>
    <x v="1"/>
    <x v="2"/>
    <n v="3.43"/>
    <x v="0"/>
    <n v="85"/>
    <n v="0.67"/>
    <x v="2"/>
    <n v="22"/>
    <n v="84"/>
    <n v="0.52"/>
    <n v="2"/>
    <n v="0.88"/>
    <x v="0"/>
  </r>
  <r>
    <s v="S767"/>
    <n v="767"/>
    <x v="2"/>
    <x v="0"/>
    <x v="2"/>
    <n v="2.77"/>
    <x v="2"/>
    <n v="83.2"/>
    <n v="0.93"/>
    <x v="2"/>
    <n v="9"/>
    <n v="14"/>
    <n v="0.8"/>
    <n v="8"/>
    <n v="0.73"/>
    <x v="1"/>
  </r>
  <r>
    <s v="S768"/>
    <n v="768"/>
    <x v="4"/>
    <x v="2"/>
    <x v="1"/>
    <n v="3.32"/>
    <x v="3"/>
    <n v="89.7"/>
    <n v="0.82"/>
    <x v="1"/>
    <n v="2"/>
    <n v="45"/>
    <n v="0.81"/>
    <n v="15"/>
    <n v="0.9"/>
    <x v="1"/>
  </r>
  <r>
    <s v="S769"/>
    <n v="769"/>
    <x v="1"/>
    <x v="0"/>
    <x v="2"/>
    <n v="2.69"/>
    <x v="1"/>
    <n v="87"/>
    <n v="0.65"/>
    <x v="1"/>
    <n v="4"/>
    <n v="88"/>
    <n v="0.76"/>
    <n v="12"/>
    <n v="0.88"/>
    <x v="0"/>
  </r>
  <r>
    <s v="S770"/>
    <n v="770"/>
    <x v="7"/>
    <x v="1"/>
    <x v="2"/>
    <n v="2.78"/>
    <x v="1"/>
    <n v="68.2"/>
    <n v="0.91"/>
    <x v="2"/>
    <n v="2"/>
    <n v="28"/>
    <n v="0.88"/>
    <n v="18"/>
    <n v="0.83"/>
    <x v="1"/>
  </r>
  <r>
    <s v="S771"/>
    <n v="771"/>
    <x v="2"/>
    <x v="1"/>
    <x v="1"/>
    <n v="2.3199999999999998"/>
    <x v="2"/>
    <n v="74.099999999999994"/>
    <n v="0.97"/>
    <x v="2"/>
    <n v="37"/>
    <n v="73"/>
    <n v="0.52"/>
    <n v="17"/>
    <n v="0.93"/>
    <x v="0"/>
  </r>
  <r>
    <s v="S772"/>
    <n v="772"/>
    <x v="2"/>
    <x v="1"/>
    <x v="3"/>
    <n v="2.52"/>
    <x v="2"/>
    <n v="65"/>
    <n v="0.98"/>
    <x v="2"/>
    <n v="12"/>
    <n v="31"/>
    <n v="0.97"/>
    <n v="11"/>
    <n v="0.97"/>
    <x v="1"/>
  </r>
  <r>
    <s v="S773"/>
    <n v="773"/>
    <x v="7"/>
    <x v="2"/>
    <x v="0"/>
    <n v="3.21"/>
    <x v="2"/>
    <n v="65.2"/>
    <n v="0.75"/>
    <x v="2"/>
    <n v="18"/>
    <n v="43"/>
    <n v="0.55000000000000004"/>
    <n v="11"/>
    <n v="0.79"/>
    <x v="1"/>
  </r>
  <r>
    <s v="S774"/>
    <n v="774"/>
    <x v="1"/>
    <x v="0"/>
    <x v="2"/>
    <n v="2.87"/>
    <x v="0"/>
    <n v="87"/>
    <n v="0.65"/>
    <x v="1"/>
    <n v="39"/>
    <n v="65"/>
    <n v="0.84"/>
    <n v="0"/>
    <n v="0.62"/>
    <x v="0"/>
  </r>
  <r>
    <s v="S775"/>
    <n v="775"/>
    <x v="5"/>
    <x v="2"/>
    <x v="3"/>
    <n v="3.55"/>
    <x v="1"/>
    <n v="94.3"/>
    <n v="0.81"/>
    <x v="0"/>
    <n v="34"/>
    <n v="26"/>
    <n v="0.56999999999999995"/>
    <n v="19"/>
    <n v="0.7"/>
    <x v="1"/>
  </r>
  <r>
    <s v="S776"/>
    <n v="776"/>
    <x v="2"/>
    <x v="2"/>
    <x v="2"/>
    <n v="3.71"/>
    <x v="2"/>
    <n v="98.5"/>
    <n v="0.65"/>
    <x v="2"/>
    <n v="23"/>
    <n v="85"/>
    <n v="0.94"/>
    <n v="7"/>
    <n v="0.88"/>
    <x v="0"/>
  </r>
  <r>
    <s v="S777"/>
    <n v="777"/>
    <x v="7"/>
    <x v="1"/>
    <x v="2"/>
    <n v="3.08"/>
    <x v="3"/>
    <n v="85.1"/>
    <n v="0.97"/>
    <x v="1"/>
    <n v="23"/>
    <n v="65"/>
    <n v="0.76"/>
    <n v="16"/>
    <n v="0.83"/>
    <x v="2"/>
  </r>
  <r>
    <s v="S778"/>
    <n v="778"/>
    <x v="4"/>
    <x v="2"/>
    <x v="0"/>
    <n v="3.52"/>
    <x v="2"/>
    <n v="67.400000000000006"/>
    <n v="0.67"/>
    <x v="2"/>
    <n v="16"/>
    <n v="26"/>
    <n v="0.54"/>
    <n v="19"/>
    <n v="0.59"/>
    <x v="0"/>
  </r>
  <r>
    <s v="S779"/>
    <n v="779"/>
    <x v="4"/>
    <x v="2"/>
    <x v="2"/>
    <n v="2.61"/>
    <x v="1"/>
    <n v="64.2"/>
    <n v="0.7"/>
    <x v="2"/>
    <n v="39"/>
    <n v="83"/>
    <n v="0.81"/>
    <n v="6"/>
    <n v="0.53"/>
    <x v="0"/>
  </r>
  <r>
    <s v="S780"/>
    <n v="780"/>
    <x v="3"/>
    <x v="1"/>
    <x v="0"/>
    <n v="2.83"/>
    <x v="2"/>
    <n v="92.5"/>
    <n v="0.76"/>
    <x v="0"/>
    <n v="9"/>
    <n v="27"/>
    <n v="0.5"/>
    <n v="8"/>
    <n v="0.84"/>
    <x v="1"/>
  </r>
  <r>
    <s v="S781"/>
    <n v="781"/>
    <x v="7"/>
    <x v="2"/>
    <x v="0"/>
    <n v="3.43"/>
    <x v="1"/>
    <n v="83.2"/>
    <n v="0.75"/>
    <x v="2"/>
    <n v="1"/>
    <n v="54"/>
    <n v="0.89"/>
    <n v="16"/>
    <n v="0.63"/>
    <x v="1"/>
  </r>
  <r>
    <s v="S782"/>
    <n v="782"/>
    <x v="3"/>
    <x v="1"/>
    <x v="0"/>
    <n v="2.77"/>
    <x v="2"/>
    <n v="84.7"/>
    <n v="0.92"/>
    <x v="2"/>
    <n v="22"/>
    <n v="87"/>
    <n v="0.83"/>
    <n v="9"/>
    <n v="0.75"/>
    <x v="1"/>
  </r>
  <r>
    <s v="S783"/>
    <n v="783"/>
    <x v="4"/>
    <x v="1"/>
    <x v="3"/>
    <n v="3.18"/>
    <x v="3"/>
    <n v="91.3"/>
    <n v="0.78"/>
    <x v="0"/>
    <n v="5"/>
    <n v="65"/>
    <n v="0.61"/>
    <n v="3"/>
    <n v="0.87"/>
    <x v="1"/>
  </r>
  <r>
    <s v="S784"/>
    <n v="784"/>
    <x v="1"/>
    <x v="1"/>
    <x v="1"/>
    <n v="2.37"/>
    <x v="2"/>
    <n v="88.1"/>
    <n v="0.67"/>
    <x v="0"/>
    <n v="1"/>
    <n v="89"/>
    <n v="0.69"/>
    <n v="6"/>
    <n v="0.78"/>
    <x v="0"/>
  </r>
  <r>
    <s v="S785"/>
    <n v="785"/>
    <x v="5"/>
    <x v="1"/>
    <x v="3"/>
    <n v="3.2"/>
    <x v="3"/>
    <n v="93.4"/>
    <n v="0.71"/>
    <x v="0"/>
    <n v="20"/>
    <n v="59"/>
    <n v="0.5"/>
    <n v="6"/>
    <n v="0.54"/>
    <x v="0"/>
  </r>
  <r>
    <s v="S786"/>
    <n v="786"/>
    <x v="7"/>
    <x v="2"/>
    <x v="1"/>
    <n v="3.72"/>
    <x v="3"/>
    <n v="62.2"/>
    <n v="0.8"/>
    <x v="0"/>
    <n v="34"/>
    <n v="67"/>
    <n v="0.85"/>
    <n v="7"/>
    <n v="0.59"/>
    <x v="1"/>
  </r>
  <r>
    <s v="S787"/>
    <n v="787"/>
    <x v="0"/>
    <x v="1"/>
    <x v="1"/>
    <n v="3.74"/>
    <x v="2"/>
    <n v="89.9"/>
    <n v="0.66"/>
    <x v="1"/>
    <n v="28"/>
    <n v="27"/>
    <n v="0.66"/>
    <n v="7"/>
    <n v="0.61"/>
    <x v="0"/>
  </r>
  <r>
    <s v="S788"/>
    <n v="788"/>
    <x v="4"/>
    <x v="1"/>
    <x v="0"/>
    <n v="3.45"/>
    <x v="3"/>
    <n v="94"/>
    <n v="0.84"/>
    <x v="1"/>
    <n v="6"/>
    <n v="89"/>
    <n v="0.79"/>
    <n v="15"/>
    <n v="0.63"/>
    <x v="1"/>
  </r>
  <r>
    <s v="S789"/>
    <n v="789"/>
    <x v="4"/>
    <x v="2"/>
    <x v="2"/>
    <n v="3.49"/>
    <x v="0"/>
    <n v="71.400000000000006"/>
    <n v="0.83"/>
    <x v="1"/>
    <n v="28"/>
    <n v="16"/>
    <n v="0.98"/>
    <n v="11"/>
    <n v="0.78"/>
    <x v="1"/>
  </r>
  <r>
    <s v="S790"/>
    <n v="790"/>
    <x v="0"/>
    <x v="2"/>
    <x v="0"/>
    <n v="3.12"/>
    <x v="2"/>
    <n v="85.6"/>
    <n v="0.89"/>
    <x v="2"/>
    <n v="36"/>
    <n v="85"/>
    <n v="0.65"/>
    <n v="14"/>
    <n v="0.75"/>
    <x v="2"/>
  </r>
  <r>
    <s v="S791"/>
    <n v="791"/>
    <x v="6"/>
    <x v="0"/>
    <x v="2"/>
    <n v="3.17"/>
    <x v="2"/>
    <n v="72.599999999999994"/>
    <n v="0.98"/>
    <x v="0"/>
    <n v="22"/>
    <n v="19"/>
    <n v="1"/>
    <n v="7"/>
    <n v="0.6"/>
    <x v="2"/>
  </r>
  <r>
    <s v="S792"/>
    <n v="792"/>
    <x v="4"/>
    <x v="2"/>
    <x v="1"/>
    <n v="2.27"/>
    <x v="3"/>
    <n v="98.3"/>
    <n v="0.96"/>
    <x v="0"/>
    <n v="32"/>
    <n v="78"/>
    <n v="0.82"/>
    <n v="8"/>
    <n v="0.53"/>
    <x v="0"/>
  </r>
  <r>
    <s v="S793"/>
    <n v="793"/>
    <x v="2"/>
    <x v="2"/>
    <x v="0"/>
    <n v="2.89"/>
    <x v="3"/>
    <n v="61.3"/>
    <n v="0.98"/>
    <x v="1"/>
    <n v="7"/>
    <n v="12"/>
    <n v="0.62"/>
    <n v="2"/>
    <n v="0.59"/>
    <x v="1"/>
  </r>
  <r>
    <s v="S794"/>
    <n v="794"/>
    <x v="1"/>
    <x v="0"/>
    <x v="2"/>
    <n v="2.9"/>
    <x v="2"/>
    <n v="83.2"/>
    <n v="0.7"/>
    <x v="2"/>
    <n v="11"/>
    <n v="53"/>
    <n v="0.72"/>
    <n v="15"/>
    <n v="0.99"/>
    <x v="0"/>
  </r>
  <r>
    <s v="S795"/>
    <n v="795"/>
    <x v="7"/>
    <x v="2"/>
    <x v="3"/>
    <n v="3.92"/>
    <x v="0"/>
    <n v="66.7"/>
    <n v="0.65"/>
    <x v="2"/>
    <n v="9"/>
    <n v="79"/>
    <n v="0.87"/>
    <n v="14"/>
    <n v="0.73"/>
    <x v="0"/>
  </r>
  <r>
    <s v="S796"/>
    <n v="796"/>
    <x v="0"/>
    <x v="2"/>
    <x v="2"/>
    <n v="2.86"/>
    <x v="3"/>
    <n v="88.5"/>
    <n v="0.72"/>
    <x v="2"/>
    <n v="14"/>
    <n v="23"/>
    <n v="0.72"/>
    <n v="3"/>
    <n v="0.93"/>
    <x v="0"/>
  </r>
  <r>
    <s v="S797"/>
    <n v="797"/>
    <x v="2"/>
    <x v="2"/>
    <x v="0"/>
    <n v="3.1"/>
    <x v="3"/>
    <n v="67"/>
    <n v="0.96"/>
    <x v="1"/>
    <n v="23"/>
    <n v="13"/>
    <n v="0.53"/>
    <n v="19"/>
    <n v="0.92"/>
    <x v="2"/>
  </r>
  <r>
    <s v="S798"/>
    <n v="798"/>
    <x v="0"/>
    <x v="2"/>
    <x v="3"/>
    <n v="3.07"/>
    <x v="1"/>
    <n v="69.400000000000006"/>
    <n v="0.99"/>
    <x v="2"/>
    <n v="25"/>
    <n v="27"/>
    <n v="0.57999999999999996"/>
    <n v="15"/>
    <n v="0.76"/>
    <x v="2"/>
  </r>
  <r>
    <s v="S799"/>
    <n v="799"/>
    <x v="7"/>
    <x v="0"/>
    <x v="2"/>
    <n v="3.27"/>
    <x v="0"/>
    <n v="79.8"/>
    <n v="0.94"/>
    <x v="2"/>
    <n v="38"/>
    <n v="61"/>
    <n v="0.9"/>
    <n v="9"/>
    <n v="0.85"/>
    <x v="2"/>
  </r>
  <r>
    <s v="S800"/>
    <n v="800"/>
    <x v="3"/>
    <x v="2"/>
    <x v="2"/>
    <n v="3.5"/>
    <x v="0"/>
    <n v="96.6"/>
    <n v="0.64"/>
    <x v="2"/>
    <n v="2"/>
    <n v="47"/>
    <n v="0.82"/>
    <n v="10"/>
    <n v="0.6"/>
    <x v="0"/>
  </r>
  <r>
    <s v="S801"/>
    <n v="801"/>
    <x v="7"/>
    <x v="2"/>
    <x v="2"/>
    <n v="2.4500000000000002"/>
    <x v="2"/>
    <n v="68.5"/>
    <n v="0.98"/>
    <x v="0"/>
    <n v="1"/>
    <n v="89"/>
    <n v="0.78"/>
    <n v="4"/>
    <n v="0.84"/>
    <x v="0"/>
  </r>
  <r>
    <s v="S802"/>
    <n v="802"/>
    <x v="6"/>
    <x v="0"/>
    <x v="2"/>
    <n v="3.06"/>
    <x v="0"/>
    <n v="65.8"/>
    <n v="0.77"/>
    <x v="1"/>
    <n v="5"/>
    <n v="29"/>
    <n v="0.57999999999999996"/>
    <n v="10"/>
    <n v="0.64"/>
    <x v="1"/>
  </r>
  <r>
    <s v="S803"/>
    <n v="803"/>
    <x v="7"/>
    <x v="1"/>
    <x v="2"/>
    <n v="3.65"/>
    <x v="2"/>
    <n v="90.4"/>
    <n v="0.6"/>
    <x v="0"/>
    <n v="20"/>
    <n v="53"/>
    <n v="0.92"/>
    <n v="12"/>
    <n v="0.92"/>
    <x v="0"/>
  </r>
  <r>
    <s v="S804"/>
    <n v="804"/>
    <x v="7"/>
    <x v="0"/>
    <x v="3"/>
    <n v="2.93"/>
    <x v="1"/>
    <n v="80"/>
    <n v="0.78"/>
    <x v="0"/>
    <n v="8"/>
    <n v="60"/>
    <n v="0.98"/>
    <n v="14"/>
    <n v="0.54"/>
    <x v="1"/>
  </r>
  <r>
    <s v="S805"/>
    <n v="805"/>
    <x v="6"/>
    <x v="1"/>
    <x v="1"/>
    <n v="2.56"/>
    <x v="0"/>
    <n v="96.5"/>
    <n v="0.62"/>
    <x v="1"/>
    <n v="9"/>
    <n v="28"/>
    <n v="0.52"/>
    <n v="5"/>
    <n v="0.89"/>
    <x v="0"/>
  </r>
  <r>
    <s v="S806"/>
    <n v="806"/>
    <x v="1"/>
    <x v="0"/>
    <x v="3"/>
    <n v="3.31"/>
    <x v="3"/>
    <n v="65.900000000000006"/>
    <n v="0.82"/>
    <x v="0"/>
    <n v="35"/>
    <n v="77"/>
    <n v="0.54"/>
    <n v="15"/>
    <n v="0.55000000000000004"/>
    <x v="1"/>
  </r>
  <r>
    <s v="S807"/>
    <n v="807"/>
    <x v="4"/>
    <x v="0"/>
    <x v="3"/>
    <n v="3.65"/>
    <x v="1"/>
    <n v="85.8"/>
    <n v="0.74"/>
    <x v="2"/>
    <n v="2"/>
    <n v="75"/>
    <n v="0.94"/>
    <n v="14"/>
    <n v="0.94"/>
    <x v="0"/>
  </r>
  <r>
    <s v="S808"/>
    <n v="808"/>
    <x v="7"/>
    <x v="2"/>
    <x v="3"/>
    <n v="2.13"/>
    <x v="2"/>
    <n v="69.3"/>
    <n v="0.79"/>
    <x v="2"/>
    <n v="23"/>
    <n v="22"/>
    <n v="0.91"/>
    <n v="10"/>
    <n v="0.65"/>
    <x v="0"/>
  </r>
  <r>
    <s v="S809"/>
    <n v="809"/>
    <x v="6"/>
    <x v="1"/>
    <x v="1"/>
    <n v="3.55"/>
    <x v="1"/>
    <n v="66.3"/>
    <n v="0.85"/>
    <x v="2"/>
    <n v="21"/>
    <n v="71"/>
    <n v="0.81"/>
    <n v="19"/>
    <n v="0.83"/>
    <x v="2"/>
  </r>
  <r>
    <s v="S810"/>
    <n v="810"/>
    <x v="2"/>
    <x v="2"/>
    <x v="0"/>
    <n v="3.64"/>
    <x v="2"/>
    <n v="87.3"/>
    <n v="0.95"/>
    <x v="2"/>
    <n v="13"/>
    <n v="70"/>
    <n v="0.97"/>
    <n v="1"/>
    <n v="0.74"/>
    <x v="2"/>
  </r>
  <r>
    <s v="S811"/>
    <n v="811"/>
    <x v="3"/>
    <x v="1"/>
    <x v="1"/>
    <n v="2.92"/>
    <x v="1"/>
    <n v="83.7"/>
    <n v="0.86"/>
    <x v="1"/>
    <n v="26"/>
    <n v="39"/>
    <n v="0.82"/>
    <n v="1"/>
    <n v="0.68"/>
    <x v="1"/>
  </r>
  <r>
    <s v="S812"/>
    <n v="812"/>
    <x v="3"/>
    <x v="0"/>
    <x v="3"/>
    <n v="3.97"/>
    <x v="2"/>
    <n v="90.2"/>
    <n v="0.77"/>
    <x v="0"/>
    <n v="32"/>
    <n v="39"/>
    <n v="0.61"/>
    <n v="11"/>
    <n v="0.82"/>
    <x v="1"/>
  </r>
  <r>
    <s v="S813"/>
    <n v="813"/>
    <x v="7"/>
    <x v="0"/>
    <x v="2"/>
    <n v="3.57"/>
    <x v="0"/>
    <n v="72.400000000000006"/>
    <n v="0.93"/>
    <x v="0"/>
    <n v="21"/>
    <n v="60"/>
    <n v="0.86"/>
    <n v="15"/>
    <n v="0.97"/>
    <x v="2"/>
  </r>
  <r>
    <s v="S814"/>
    <n v="814"/>
    <x v="1"/>
    <x v="1"/>
    <x v="2"/>
    <n v="3.55"/>
    <x v="3"/>
    <n v="77.900000000000006"/>
    <n v="0.96"/>
    <x v="2"/>
    <n v="28"/>
    <n v="57"/>
    <n v="0.82"/>
    <n v="18"/>
    <n v="0.52"/>
    <x v="2"/>
  </r>
  <r>
    <s v="S815"/>
    <n v="815"/>
    <x v="1"/>
    <x v="2"/>
    <x v="3"/>
    <n v="3.5"/>
    <x v="2"/>
    <n v="76.2"/>
    <n v="0.65"/>
    <x v="2"/>
    <n v="18"/>
    <n v="42"/>
    <n v="0.99"/>
    <n v="1"/>
    <n v="0.96"/>
    <x v="0"/>
  </r>
  <r>
    <s v="S816"/>
    <n v="816"/>
    <x v="2"/>
    <x v="2"/>
    <x v="2"/>
    <n v="2.2999999999999998"/>
    <x v="1"/>
    <n v="99.4"/>
    <n v="0.81"/>
    <x v="0"/>
    <n v="18"/>
    <n v="83"/>
    <n v="0.61"/>
    <n v="16"/>
    <n v="0.8"/>
    <x v="0"/>
  </r>
  <r>
    <s v="S817"/>
    <n v="817"/>
    <x v="7"/>
    <x v="2"/>
    <x v="3"/>
    <n v="2.4300000000000002"/>
    <x v="2"/>
    <n v="71.7"/>
    <n v="0.71"/>
    <x v="1"/>
    <n v="5"/>
    <n v="28"/>
    <n v="0.8"/>
    <n v="13"/>
    <n v="0.9"/>
    <x v="0"/>
  </r>
  <r>
    <s v="S818"/>
    <n v="818"/>
    <x v="3"/>
    <x v="2"/>
    <x v="2"/>
    <n v="2.93"/>
    <x v="2"/>
    <n v="71.8"/>
    <n v="0.62"/>
    <x v="0"/>
    <n v="18"/>
    <n v="80"/>
    <n v="0.89"/>
    <n v="15"/>
    <n v="0.69"/>
    <x v="0"/>
  </r>
  <r>
    <s v="S819"/>
    <n v="819"/>
    <x v="1"/>
    <x v="0"/>
    <x v="1"/>
    <n v="2.5299999999999998"/>
    <x v="2"/>
    <n v="74.2"/>
    <n v="0.87"/>
    <x v="2"/>
    <n v="12"/>
    <n v="66"/>
    <n v="0.67"/>
    <n v="4"/>
    <n v="0.74"/>
    <x v="1"/>
  </r>
  <r>
    <s v="S820"/>
    <n v="820"/>
    <x v="7"/>
    <x v="0"/>
    <x v="0"/>
    <n v="2.83"/>
    <x v="1"/>
    <n v="82.6"/>
    <n v="0.95"/>
    <x v="2"/>
    <n v="25"/>
    <n v="28"/>
    <n v="0.69"/>
    <n v="9"/>
    <n v="0.93"/>
    <x v="1"/>
  </r>
  <r>
    <s v="S821"/>
    <n v="821"/>
    <x v="0"/>
    <x v="0"/>
    <x v="0"/>
    <n v="3.78"/>
    <x v="3"/>
    <n v="70.099999999999994"/>
    <n v="0.67"/>
    <x v="1"/>
    <n v="21"/>
    <n v="88"/>
    <n v="0.94"/>
    <n v="16"/>
    <n v="0.71"/>
    <x v="0"/>
  </r>
  <r>
    <s v="S822"/>
    <n v="822"/>
    <x v="1"/>
    <x v="0"/>
    <x v="1"/>
    <n v="3.65"/>
    <x v="0"/>
    <n v="96.6"/>
    <n v="0.92"/>
    <x v="0"/>
    <n v="20"/>
    <n v="50"/>
    <n v="0.7"/>
    <n v="12"/>
    <n v="0.77"/>
    <x v="2"/>
  </r>
  <r>
    <s v="S823"/>
    <n v="823"/>
    <x v="6"/>
    <x v="0"/>
    <x v="1"/>
    <n v="3.26"/>
    <x v="3"/>
    <n v="70.599999999999994"/>
    <n v="0.94"/>
    <x v="1"/>
    <n v="35"/>
    <n v="51"/>
    <n v="0.81"/>
    <n v="15"/>
    <n v="0.51"/>
    <x v="2"/>
  </r>
  <r>
    <s v="S824"/>
    <n v="824"/>
    <x v="0"/>
    <x v="2"/>
    <x v="3"/>
    <n v="3.72"/>
    <x v="2"/>
    <n v="95.8"/>
    <n v="0.97"/>
    <x v="1"/>
    <n v="1"/>
    <n v="61"/>
    <n v="0.94"/>
    <n v="8"/>
    <n v="0.57999999999999996"/>
    <x v="2"/>
  </r>
  <r>
    <s v="S825"/>
    <n v="825"/>
    <x v="4"/>
    <x v="2"/>
    <x v="3"/>
    <n v="3.57"/>
    <x v="1"/>
    <n v="64.099999999999994"/>
    <n v="0.71"/>
    <x v="2"/>
    <n v="29"/>
    <n v="13"/>
    <n v="0.6"/>
    <n v="3"/>
    <n v="0.82"/>
    <x v="0"/>
  </r>
  <r>
    <s v="S826"/>
    <n v="826"/>
    <x v="1"/>
    <x v="2"/>
    <x v="3"/>
    <n v="2.86"/>
    <x v="3"/>
    <n v="86.3"/>
    <n v="0.96"/>
    <x v="0"/>
    <n v="26"/>
    <n v="13"/>
    <n v="0.99"/>
    <n v="15"/>
    <n v="0.86"/>
    <x v="1"/>
  </r>
  <r>
    <s v="S827"/>
    <n v="827"/>
    <x v="3"/>
    <x v="2"/>
    <x v="2"/>
    <n v="2.4"/>
    <x v="2"/>
    <n v="96.3"/>
    <n v="0.73"/>
    <x v="2"/>
    <n v="6"/>
    <n v="14"/>
    <n v="0.85"/>
    <n v="10"/>
    <n v="0.79"/>
    <x v="0"/>
  </r>
  <r>
    <s v="S828"/>
    <n v="828"/>
    <x v="5"/>
    <x v="0"/>
    <x v="3"/>
    <n v="3.03"/>
    <x v="0"/>
    <n v="66.7"/>
    <n v="0.82"/>
    <x v="0"/>
    <n v="19"/>
    <n v="50"/>
    <n v="0.75"/>
    <n v="6"/>
    <n v="0.56999999999999995"/>
    <x v="1"/>
  </r>
  <r>
    <s v="S829"/>
    <n v="829"/>
    <x v="0"/>
    <x v="0"/>
    <x v="1"/>
    <n v="3.47"/>
    <x v="0"/>
    <n v="98.7"/>
    <n v="0.62"/>
    <x v="2"/>
    <n v="30"/>
    <n v="70"/>
    <n v="0.72"/>
    <n v="16"/>
    <n v="0.72"/>
    <x v="0"/>
  </r>
  <r>
    <s v="S830"/>
    <n v="830"/>
    <x v="4"/>
    <x v="0"/>
    <x v="0"/>
    <n v="2.87"/>
    <x v="0"/>
    <n v="78.099999999999994"/>
    <n v="0.62"/>
    <x v="2"/>
    <n v="22"/>
    <n v="84"/>
    <n v="0.98"/>
    <n v="12"/>
    <n v="0.68"/>
    <x v="0"/>
  </r>
  <r>
    <s v="S831"/>
    <n v="831"/>
    <x v="2"/>
    <x v="1"/>
    <x v="2"/>
    <n v="3.33"/>
    <x v="2"/>
    <n v="97.8"/>
    <n v="0.89"/>
    <x v="0"/>
    <n v="12"/>
    <n v="64"/>
    <n v="0.6"/>
    <n v="3"/>
    <n v="0.75"/>
    <x v="2"/>
  </r>
  <r>
    <s v="S832"/>
    <n v="832"/>
    <x v="2"/>
    <x v="2"/>
    <x v="3"/>
    <n v="2.19"/>
    <x v="1"/>
    <n v="87.1"/>
    <n v="0.78"/>
    <x v="0"/>
    <n v="16"/>
    <n v="84"/>
    <n v="0.66"/>
    <n v="13"/>
    <n v="0.94"/>
    <x v="0"/>
  </r>
  <r>
    <s v="S833"/>
    <n v="833"/>
    <x v="3"/>
    <x v="2"/>
    <x v="2"/>
    <n v="3.5"/>
    <x v="3"/>
    <n v="72.099999999999994"/>
    <n v="0.7"/>
    <x v="2"/>
    <n v="3"/>
    <n v="22"/>
    <n v="0.65"/>
    <n v="9"/>
    <n v="0.89"/>
    <x v="0"/>
  </r>
  <r>
    <s v="S834"/>
    <n v="834"/>
    <x v="1"/>
    <x v="0"/>
    <x v="2"/>
    <n v="3.63"/>
    <x v="0"/>
    <n v="67.5"/>
    <n v="0.68"/>
    <x v="0"/>
    <n v="13"/>
    <n v="23"/>
    <n v="0.64"/>
    <n v="9"/>
    <n v="0.54"/>
    <x v="0"/>
  </r>
  <r>
    <s v="S835"/>
    <n v="835"/>
    <x v="7"/>
    <x v="2"/>
    <x v="3"/>
    <n v="3.41"/>
    <x v="2"/>
    <n v="72.099999999999994"/>
    <n v="0.87"/>
    <x v="2"/>
    <n v="19"/>
    <n v="69"/>
    <n v="0.73"/>
    <n v="9"/>
    <n v="0.95"/>
    <x v="2"/>
  </r>
  <r>
    <s v="S836"/>
    <n v="836"/>
    <x v="1"/>
    <x v="2"/>
    <x v="2"/>
    <n v="3.93"/>
    <x v="2"/>
    <n v="63.7"/>
    <n v="0.6"/>
    <x v="0"/>
    <n v="12"/>
    <n v="81"/>
    <n v="0.99"/>
    <n v="11"/>
    <n v="0.74"/>
    <x v="0"/>
  </r>
  <r>
    <s v="S837"/>
    <n v="837"/>
    <x v="3"/>
    <x v="0"/>
    <x v="0"/>
    <n v="3.65"/>
    <x v="3"/>
    <n v="65.8"/>
    <n v="0.92"/>
    <x v="2"/>
    <n v="2"/>
    <n v="34"/>
    <n v="0.94"/>
    <n v="1"/>
    <n v="0.87"/>
    <x v="2"/>
  </r>
  <r>
    <s v="S838"/>
    <n v="838"/>
    <x v="2"/>
    <x v="1"/>
    <x v="1"/>
    <n v="3.81"/>
    <x v="0"/>
    <n v="64.2"/>
    <n v="0.63"/>
    <x v="2"/>
    <n v="25"/>
    <n v="53"/>
    <n v="0.66"/>
    <n v="8"/>
    <n v="0.56999999999999995"/>
    <x v="0"/>
  </r>
  <r>
    <s v="S839"/>
    <n v="839"/>
    <x v="1"/>
    <x v="1"/>
    <x v="1"/>
    <n v="3.87"/>
    <x v="2"/>
    <n v="76.900000000000006"/>
    <n v="0.68"/>
    <x v="2"/>
    <n v="25"/>
    <n v="19"/>
    <n v="0.71"/>
    <n v="4"/>
    <n v="0.84"/>
    <x v="0"/>
  </r>
  <r>
    <s v="S840"/>
    <n v="840"/>
    <x v="2"/>
    <x v="1"/>
    <x v="0"/>
    <n v="3.6"/>
    <x v="3"/>
    <n v="91.8"/>
    <n v="0.75"/>
    <x v="1"/>
    <n v="17"/>
    <n v="80"/>
    <n v="0.83"/>
    <n v="7"/>
    <n v="0.62"/>
    <x v="1"/>
  </r>
  <r>
    <s v="S841"/>
    <n v="841"/>
    <x v="0"/>
    <x v="0"/>
    <x v="2"/>
    <n v="3.35"/>
    <x v="1"/>
    <n v="65.7"/>
    <n v="0.79"/>
    <x v="0"/>
    <n v="31"/>
    <n v="59"/>
    <n v="0.51"/>
    <n v="13"/>
    <n v="0.72"/>
    <x v="1"/>
  </r>
  <r>
    <s v="S842"/>
    <n v="842"/>
    <x v="4"/>
    <x v="2"/>
    <x v="3"/>
    <n v="2.0099999999999998"/>
    <x v="1"/>
    <n v="65.2"/>
    <n v="0.74"/>
    <x v="2"/>
    <n v="13"/>
    <n v="53"/>
    <n v="0.91"/>
    <n v="6"/>
    <n v="0.51"/>
    <x v="0"/>
  </r>
  <r>
    <s v="S843"/>
    <n v="843"/>
    <x v="7"/>
    <x v="0"/>
    <x v="2"/>
    <n v="2.93"/>
    <x v="1"/>
    <n v="85.7"/>
    <n v="0.73"/>
    <x v="1"/>
    <n v="2"/>
    <n v="23"/>
    <n v="0.94"/>
    <n v="6"/>
    <n v="0.57999999999999996"/>
    <x v="0"/>
  </r>
  <r>
    <s v="S844"/>
    <n v="844"/>
    <x v="0"/>
    <x v="0"/>
    <x v="0"/>
    <n v="3.14"/>
    <x v="0"/>
    <n v="67.900000000000006"/>
    <n v="0.99"/>
    <x v="2"/>
    <n v="0"/>
    <n v="24"/>
    <n v="0.93"/>
    <n v="8"/>
    <n v="0.55000000000000004"/>
    <x v="2"/>
  </r>
  <r>
    <s v="S845"/>
    <n v="845"/>
    <x v="2"/>
    <x v="2"/>
    <x v="2"/>
    <n v="2.61"/>
    <x v="3"/>
    <n v="63.9"/>
    <n v="0.86"/>
    <x v="1"/>
    <n v="25"/>
    <n v="25"/>
    <n v="0.69"/>
    <n v="2"/>
    <n v="0.62"/>
    <x v="1"/>
  </r>
  <r>
    <s v="S846"/>
    <n v="846"/>
    <x v="2"/>
    <x v="1"/>
    <x v="1"/>
    <n v="2.64"/>
    <x v="3"/>
    <n v="66.7"/>
    <n v="0.61"/>
    <x v="2"/>
    <n v="23"/>
    <n v="11"/>
    <n v="0.73"/>
    <n v="13"/>
    <n v="0.55000000000000004"/>
    <x v="0"/>
  </r>
  <r>
    <s v="S847"/>
    <n v="847"/>
    <x v="5"/>
    <x v="1"/>
    <x v="2"/>
    <n v="3.92"/>
    <x v="2"/>
    <n v="96.9"/>
    <n v="0.77"/>
    <x v="2"/>
    <n v="34"/>
    <n v="39"/>
    <n v="0.51"/>
    <n v="16"/>
    <n v="0.85"/>
    <x v="1"/>
  </r>
  <r>
    <s v="S848"/>
    <n v="848"/>
    <x v="5"/>
    <x v="0"/>
    <x v="0"/>
    <n v="3.78"/>
    <x v="2"/>
    <n v="92.9"/>
    <n v="0.95"/>
    <x v="1"/>
    <n v="13"/>
    <n v="39"/>
    <n v="0.7"/>
    <n v="17"/>
    <n v="0.51"/>
    <x v="2"/>
  </r>
  <r>
    <s v="S849"/>
    <n v="849"/>
    <x v="0"/>
    <x v="1"/>
    <x v="1"/>
    <n v="3.7"/>
    <x v="2"/>
    <n v="74.2"/>
    <n v="0.72"/>
    <x v="1"/>
    <n v="2"/>
    <n v="40"/>
    <n v="0.73"/>
    <n v="11"/>
    <n v="0.81"/>
    <x v="0"/>
  </r>
  <r>
    <s v="S850"/>
    <n v="850"/>
    <x v="6"/>
    <x v="0"/>
    <x v="2"/>
    <n v="2.81"/>
    <x v="3"/>
    <n v="86.2"/>
    <n v="0.64"/>
    <x v="0"/>
    <n v="12"/>
    <n v="86"/>
    <n v="0.95"/>
    <n v="13"/>
    <n v="0.56999999999999995"/>
    <x v="0"/>
  </r>
  <r>
    <s v="S851"/>
    <n v="851"/>
    <x v="0"/>
    <x v="0"/>
    <x v="2"/>
    <n v="2.0299999999999998"/>
    <x v="2"/>
    <n v="81.5"/>
    <n v="0.9"/>
    <x v="0"/>
    <n v="13"/>
    <n v="29"/>
    <n v="0.95"/>
    <n v="12"/>
    <n v="0.97"/>
    <x v="0"/>
  </r>
  <r>
    <s v="S852"/>
    <n v="852"/>
    <x v="5"/>
    <x v="2"/>
    <x v="1"/>
    <n v="2.16"/>
    <x v="3"/>
    <n v="87.1"/>
    <n v="0.84"/>
    <x v="1"/>
    <n v="20"/>
    <n v="58"/>
    <n v="0.98"/>
    <n v="13"/>
    <n v="0.97"/>
    <x v="0"/>
  </r>
  <r>
    <s v="S853"/>
    <n v="853"/>
    <x v="2"/>
    <x v="2"/>
    <x v="3"/>
    <n v="2.62"/>
    <x v="3"/>
    <n v="87.3"/>
    <n v="0.83"/>
    <x v="0"/>
    <n v="25"/>
    <n v="44"/>
    <n v="0.94"/>
    <n v="8"/>
    <n v="0.61"/>
    <x v="1"/>
  </r>
  <r>
    <s v="S854"/>
    <n v="854"/>
    <x v="3"/>
    <x v="2"/>
    <x v="1"/>
    <n v="2.0299999999999998"/>
    <x v="1"/>
    <n v="85.1"/>
    <n v="0.62"/>
    <x v="1"/>
    <n v="2"/>
    <n v="32"/>
    <n v="0.5"/>
    <n v="18"/>
    <n v="0.81"/>
    <x v="0"/>
  </r>
  <r>
    <s v="S855"/>
    <n v="855"/>
    <x v="0"/>
    <x v="0"/>
    <x v="3"/>
    <n v="2.0299999999999998"/>
    <x v="2"/>
    <n v="70.599999999999994"/>
    <n v="0.66"/>
    <x v="0"/>
    <n v="39"/>
    <n v="70"/>
    <n v="0.82"/>
    <n v="1"/>
    <n v="0.51"/>
    <x v="0"/>
  </r>
  <r>
    <s v="S856"/>
    <n v="856"/>
    <x v="2"/>
    <x v="2"/>
    <x v="0"/>
    <n v="3.83"/>
    <x v="1"/>
    <n v="61.6"/>
    <n v="0.85"/>
    <x v="2"/>
    <n v="3"/>
    <n v="64"/>
    <n v="0.53"/>
    <n v="10"/>
    <n v="0.97"/>
    <x v="2"/>
  </r>
  <r>
    <s v="S857"/>
    <n v="857"/>
    <x v="3"/>
    <x v="1"/>
    <x v="0"/>
    <n v="3.41"/>
    <x v="0"/>
    <n v="78.2"/>
    <n v="0.68"/>
    <x v="0"/>
    <n v="35"/>
    <n v="76"/>
    <n v="0.64"/>
    <n v="16"/>
    <n v="0.76"/>
    <x v="0"/>
  </r>
  <r>
    <s v="S858"/>
    <n v="858"/>
    <x v="3"/>
    <x v="1"/>
    <x v="1"/>
    <n v="2.62"/>
    <x v="0"/>
    <n v="95.6"/>
    <n v="0.8"/>
    <x v="2"/>
    <n v="0"/>
    <n v="17"/>
    <n v="0.79"/>
    <n v="1"/>
    <n v="0.52"/>
    <x v="1"/>
  </r>
  <r>
    <s v="S859"/>
    <n v="859"/>
    <x v="5"/>
    <x v="0"/>
    <x v="1"/>
    <n v="2.27"/>
    <x v="0"/>
    <n v="82.8"/>
    <n v="0.82"/>
    <x v="2"/>
    <n v="39"/>
    <n v="49"/>
    <n v="0.85"/>
    <n v="18"/>
    <n v="0.67"/>
    <x v="0"/>
  </r>
  <r>
    <s v="S860"/>
    <n v="860"/>
    <x v="0"/>
    <x v="0"/>
    <x v="0"/>
    <n v="3.02"/>
    <x v="3"/>
    <n v="93.3"/>
    <n v="0.71"/>
    <x v="0"/>
    <n v="32"/>
    <n v="68"/>
    <n v="0.83"/>
    <n v="6"/>
    <n v="0.54"/>
    <x v="0"/>
  </r>
  <r>
    <s v="S861"/>
    <n v="861"/>
    <x v="1"/>
    <x v="2"/>
    <x v="3"/>
    <n v="2.0099999999999998"/>
    <x v="3"/>
    <n v="99.7"/>
    <n v="0.98"/>
    <x v="1"/>
    <n v="6"/>
    <n v="41"/>
    <n v="0.52"/>
    <n v="17"/>
    <n v="0.7"/>
    <x v="0"/>
  </r>
  <r>
    <s v="S862"/>
    <n v="862"/>
    <x v="7"/>
    <x v="0"/>
    <x v="0"/>
    <n v="3.88"/>
    <x v="3"/>
    <n v="66.5"/>
    <n v="0.94"/>
    <x v="2"/>
    <n v="10"/>
    <n v="16"/>
    <n v="0.55000000000000004"/>
    <n v="12"/>
    <n v="0.83"/>
    <x v="2"/>
  </r>
  <r>
    <s v="S863"/>
    <n v="863"/>
    <x v="5"/>
    <x v="0"/>
    <x v="1"/>
    <n v="2.83"/>
    <x v="2"/>
    <n v="87.7"/>
    <n v="0.89"/>
    <x v="2"/>
    <n v="26"/>
    <n v="11"/>
    <n v="0.56000000000000005"/>
    <n v="4"/>
    <n v="0.73"/>
    <x v="1"/>
  </r>
  <r>
    <s v="S864"/>
    <n v="864"/>
    <x v="5"/>
    <x v="1"/>
    <x v="0"/>
    <n v="2.8"/>
    <x v="1"/>
    <n v="87"/>
    <n v="0.63"/>
    <x v="0"/>
    <n v="13"/>
    <n v="15"/>
    <n v="0.55000000000000004"/>
    <n v="17"/>
    <n v="0.69"/>
    <x v="0"/>
  </r>
  <r>
    <s v="S865"/>
    <n v="865"/>
    <x v="1"/>
    <x v="1"/>
    <x v="1"/>
    <n v="2.78"/>
    <x v="3"/>
    <n v="99.2"/>
    <n v="0.64"/>
    <x v="1"/>
    <n v="21"/>
    <n v="45"/>
    <n v="0.59"/>
    <n v="15"/>
    <n v="0.56000000000000005"/>
    <x v="0"/>
  </r>
  <r>
    <s v="S866"/>
    <n v="866"/>
    <x v="7"/>
    <x v="2"/>
    <x v="1"/>
    <n v="2.14"/>
    <x v="1"/>
    <n v="99.4"/>
    <n v="0.8"/>
    <x v="1"/>
    <n v="15"/>
    <n v="41"/>
    <n v="0.84"/>
    <n v="14"/>
    <n v="0.62"/>
    <x v="0"/>
  </r>
  <r>
    <s v="S867"/>
    <n v="867"/>
    <x v="2"/>
    <x v="0"/>
    <x v="0"/>
    <n v="3.28"/>
    <x v="1"/>
    <n v="87.5"/>
    <n v="0.66"/>
    <x v="0"/>
    <n v="11"/>
    <n v="54"/>
    <n v="0.92"/>
    <n v="7"/>
    <n v="0.55000000000000004"/>
    <x v="0"/>
  </r>
  <r>
    <s v="S868"/>
    <n v="868"/>
    <x v="6"/>
    <x v="0"/>
    <x v="3"/>
    <n v="3.47"/>
    <x v="1"/>
    <n v="69.7"/>
    <n v="0.99"/>
    <x v="1"/>
    <n v="9"/>
    <n v="51"/>
    <n v="0.7"/>
    <n v="14"/>
    <n v="0.9"/>
    <x v="2"/>
  </r>
  <r>
    <s v="S869"/>
    <n v="869"/>
    <x v="0"/>
    <x v="1"/>
    <x v="2"/>
    <n v="3.35"/>
    <x v="2"/>
    <n v="91.9"/>
    <n v="0.66"/>
    <x v="0"/>
    <n v="23"/>
    <n v="62"/>
    <n v="0.85"/>
    <n v="0"/>
    <n v="0.56999999999999995"/>
    <x v="0"/>
  </r>
  <r>
    <s v="S870"/>
    <n v="870"/>
    <x v="6"/>
    <x v="0"/>
    <x v="0"/>
    <n v="2.2799999999999998"/>
    <x v="2"/>
    <n v="64.3"/>
    <n v="0.79"/>
    <x v="0"/>
    <n v="17"/>
    <n v="18"/>
    <n v="0.6"/>
    <n v="16"/>
    <n v="0.8"/>
    <x v="0"/>
  </r>
  <r>
    <s v="S871"/>
    <n v="871"/>
    <x v="2"/>
    <x v="1"/>
    <x v="2"/>
    <n v="3.16"/>
    <x v="0"/>
    <n v="91.2"/>
    <n v="0.75"/>
    <x v="0"/>
    <n v="21"/>
    <n v="84"/>
    <n v="0.99"/>
    <n v="14"/>
    <n v="0.67"/>
    <x v="1"/>
  </r>
  <r>
    <s v="S872"/>
    <n v="872"/>
    <x v="4"/>
    <x v="2"/>
    <x v="0"/>
    <n v="3.14"/>
    <x v="0"/>
    <n v="96.4"/>
    <n v="0.86"/>
    <x v="2"/>
    <n v="8"/>
    <n v="84"/>
    <n v="0.67"/>
    <n v="13"/>
    <n v="0.61"/>
    <x v="2"/>
  </r>
  <r>
    <s v="S873"/>
    <n v="873"/>
    <x v="5"/>
    <x v="1"/>
    <x v="2"/>
    <n v="3.74"/>
    <x v="1"/>
    <n v="75.3"/>
    <n v="0.65"/>
    <x v="2"/>
    <n v="16"/>
    <n v="58"/>
    <n v="0.92"/>
    <n v="13"/>
    <n v="0.82"/>
    <x v="0"/>
  </r>
  <r>
    <s v="S874"/>
    <n v="874"/>
    <x v="7"/>
    <x v="0"/>
    <x v="3"/>
    <n v="2.76"/>
    <x v="0"/>
    <n v="85.2"/>
    <n v="0.77"/>
    <x v="2"/>
    <n v="37"/>
    <n v="11"/>
    <n v="0.97"/>
    <n v="9"/>
    <n v="0.73"/>
    <x v="1"/>
  </r>
  <r>
    <s v="S875"/>
    <n v="875"/>
    <x v="5"/>
    <x v="2"/>
    <x v="3"/>
    <n v="2.74"/>
    <x v="1"/>
    <n v="77.2"/>
    <n v="0.71"/>
    <x v="0"/>
    <n v="39"/>
    <n v="76"/>
    <n v="0.93"/>
    <n v="1"/>
    <n v="0.7"/>
    <x v="0"/>
  </r>
  <r>
    <s v="S876"/>
    <n v="876"/>
    <x v="3"/>
    <x v="1"/>
    <x v="0"/>
    <n v="3.24"/>
    <x v="2"/>
    <n v="77.5"/>
    <n v="0.96"/>
    <x v="2"/>
    <n v="12"/>
    <n v="20"/>
    <n v="0.53"/>
    <n v="5"/>
    <n v="0.8"/>
    <x v="2"/>
  </r>
  <r>
    <s v="S877"/>
    <n v="877"/>
    <x v="5"/>
    <x v="1"/>
    <x v="1"/>
    <n v="3.27"/>
    <x v="2"/>
    <n v="72.400000000000006"/>
    <n v="0.62"/>
    <x v="2"/>
    <n v="36"/>
    <n v="59"/>
    <n v="0.83"/>
    <n v="16"/>
    <n v="0.75"/>
    <x v="0"/>
  </r>
  <r>
    <s v="S878"/>
    <n v="878"/>
    <x v="5"/>
    <x v="2"/>
    <x v="2"/>
    <n v="2.94"/>
    <x v="2"/>
    <n v="90.5"/>
    <n v="0.97"/>
    <x v="2"/>
    <n v="5"/>
    <n v="44"/>
    <n v="0.56000000000000005"/>
    <n v="4"/>
    <n v="0.65"/>
    <x v="1"/>
  </r>
  <r>
    <s v="S879"/>
    <n v="879"/>
    <x v="2"/>
    <x v="2"/>
    <x v="1"/>
    <n v="2.89"/>
    <x v="3"/>
    <n v="97.4"/>
    <n v="0.93"/>
    <x v="0"/>
    <n v="20"/>
    <n v="24"/>
    <n v="0.5"/>
    <n v="4"/>
    <n v="0.78"/>
    <x v="1"/>
  </r>
  <r>
    <s v="S880"/>
    <n v="880"/>
    <x v="2"/>
    <x v="1"/>
    <x v="1"/>
    <n v="2.99"/>
    <x v="1"/>
    <n v="97.6"/>
    <n v="0.72"/>
    <x v="0"/>
    <n v="35"/>
    <n v="84"/>
    <n v="0.53"/>
    <n v="14"/>
    <n v="0.83"/>
    <x v="0"/>
  </r>
  <r>
    <s v="S881"/>
    <n v="881"/>
    <x v="2"/>
    <x v="0"/>
    <x v="1"/>
    <n v="3.72"/>
    <x v="2"/>
    <n v="67"/>
    <n v="0.92"/>
    <x v="0"/>
    <n v="6"/>
    <n v="40"/>
    <n v="0.96"/>
    <n v="14"/>
    <n v="0.51"/>
    <x v="2"/>
  </r>
  <r>
    <s v="S882"/>
    <n v="882"/>
    <x v="6"/>
    <x v="1"/>
    <x v="3"/>
    <n v="2.92"/>
    <x v="1"/>
    <n v="95"/>
    <n v="0.61"/>
    <x v="2"/>
    <n v="35"/>
    <n v="71"/>
    <n v="0.95"/>
    <n v="19"/>
    <n v="0.73"/>
    <x v="0"/>
  </r>
  <r>
    <s v="S883"/>
    <n v="883"/>
    <x v="3"/>
    <x v="2"/>
    <x v="0"/>
    <n v="3.88"/>
    <x v="0"/>
    <n v="89.5"/>
    <n v="0.99"/>
    <x v="1"/>
    <n v="24"/>
    <n v="37"/>
    <n v="0.61"/>
    <n v="10"/>
    <n v="0.53"/>
    <x v="2"/>
  </r>
  <r>
    <s v="S884"/>
    <n v="884"/>
    <x v="4"/>
    <x v="1"/>
    <x v="0"/>
    <n v="3.01"/>
    <x v="0"/>
    <n v="70.099999999999994"/>
    <n v="0.81"/>
    <x v="2"/>
    <n v="10"/>
    <n v="34"/>
    <n v="0.77"/>
    <n v="4"/>
    <n v="0.59"/>
    <x v="1"/>
  </r>
  <r>
    <s v="S885"/>
    <n v="885"/>
    <x v="4"/>
    <x v="2"/>
    <x v="3"/>
    <n v="3.9"/>
    <x v="2"/>
    <n v="62.7"/>
    <n v="0.72"/>
    <x v="2"/>
    <n v="13"/>
    <n v="34"/>
    <n v="0.98"/>
    <n v="0"/>
    <n v="0.78"/>
    <x v="0"/>
  </r>
  <r>
    <s v="S886"/>
    <n v="886"/>
    <x v="2"/>
    <x v="2"/>
    <x v="3"/>
    <n v="3.67"/>
    <x v="1"/>
    <n v="70.7"/>
    <n v="0.75"/>
    <x v="0"/>
    <n v="28"/>
    <n v="84"/>
    <n v="0.75"/>
    <n v="10"/>
    <n v="0.93"/>
    <x v="1"/>
  </r>
  <r>
    <s v="S887"/>
    <n v="887"/>
    <x v="7"/>
    <x v="0"/>
    <x v="0"/>
    <n v="2.72"/>
    <x v="2"/>
    <n v="96.5"/>
    <n v="0.63"/>
    <x v="0"/>
    <n v="9"/>
    <n v="10"/>
    <n v="0.7"/>
    <n v="10"/>
    <n v="0.94"/>
    <x v="0"/>
  </r>
  <r>
    <s v="S888"/>
    <n v="888"/>
    <x v="6"/>
    <x v="2"/>
    <x v="1"/>
    <n v="3.73"/>
    <x v="0"/>
    <n v="85.3"/>
    <n v="1"/>
    <x v="2"/>
    <n v="4"/>
    <n v="68"/>
    <n v="0.74"/>
    <n v="5"/>
    <n v="0.53"/>
    <x v="2"/>
  </r>
  <r>
    <s v="S889"/>
    <n v="889"/>
    <x v="1"/>
    <x v="2"/>
    <x v="2"/>
    <n v="2.2200000000000002"/>
    <x v="2"/>
    <n v="88.8"/>
    <n v="0.62"/>
    <x v="2"/>
    <n v="7"/>
    <n v="78"/>
    <n v="0.9"/>
    <n v="7"/>
    <n v="0.71"/>
    <x v="0"/>
  </r>
  <r>
    <s v="S890"/>
    <n v="890"/>
    <x v="7"/>
    <x v="0"/>
    <x v="2"/>
    <n v="3.85"/>
    <x v="1"/>
    <n v="70.3"/>
    <n v="0.86"/>
    <x v="1"/>
    <n v="4"/>
    <n v="83"/>
    <n v="0.74"/>
    <n v="1"/>
    <n v="0.79"/>
    <x v="2"/>
  </r>
  <r>
    <s v="S891"/>
    <n v="891"/>
    <x v="0"/>
    <x v="2"/>
    <x v="2"/>
    <n v="3.26"/>
    <x v="0"/>
    <n v="88.8"/>
    <n v="0.78"/>
    <x v="1"/>
    <n v="23"/>
    <n v="51"/>
    <n v="0.89"/>
    <n v="14"/>
    <n v="0.56999999999999995"/>
    <x v="1"/>
  </r>
  <r>
    <s v="S892"/>
    <n v="892"/>
    <x v="0"/>
    <x v="0"/>
    <x v="1"/>
    <n v="2.11"/>
    <x v="3"/>
    <n v="61.1"/>
    <n v="0.98"/>
    <x v="0"/>
    <n v="39"/>
    <n v="43"/>
    <n v="0.72"/>
    <n v="8"/>
    <n v="0.88"/>
    <x v="0"/>
  </r>
  <r>
    <s v="S893"/>
    <n v="893"/>
    <x v="7"/>
    <x v="0"/>
    <x v="0"/>
    <n v="3.29"/>
    <x v="0"/>
    <n v="75"/>
    <n v="0.7"/>
    <x v="1"/>
    <n v="25"/>
    <n v="75"/>
    <n v="0.63"/>
    <n v="14"/>
    <n v="0.87"/>
    <x v="0"/>
  </r>
  <r>
    <s v="S894"/>
    <n v="894"/>
    <x v="2"/>
    <x v="2"/>
    <x v="3"/>
    <n v="3.95"/>
    <x v="3"/>
    <n v="85.1"/>
    <n v="0.81"/>
    <x v="1"/>
    <n v="5"/>
    <n v="27"/>
    <n v="0.66"/>
    <n v="7"/>
    <n v="0.95"/>
    <x v="1"/>
  </r>
  <r>
    <s v="S895"/>
    <n v="895"/>
    <x v="1"/>
    <x v="2"/>
    <x v="0"/>
    <n v="2.14"/>
    <x v="2"/>
    <n v="65.8"/>
    <n v="0.79"/>
    <x v="0"/>
    <n v="15"/>
    <n v="86"/>
    <n v="0.54"/>
    <n v="15"/>
    <n v="0.5"/>
    <x v="0"/>
  </r>
  <r>
    <s v="S896"/>
    <n v="896"/>
    <x v="1"/>
    <x v="1"/>
    <x v="1"/>
    <n v="3.11"/>
    <x v="2"/>
    <n v="92.9"/>
    <n v="0.88"/>
    <x v="1"/>
    <n v="35"/>
    <n v="14"/>
    <n v="0.75"/>
    <n v="13"/>
    <n v="0.61"/>
    <x v="2"/>
  </r>
  <r>
    <s v="S897"/>
    <n v="897"/>
    <x v="6"/>
    <x v="0"/>
    <x v="3"/>
    <n v="3.5"/>
    <x v="1"/>
    <n v="69.400000000000006"/>
    <n v="0.63"/>
    <x v="2"/>
    <n v="11"/>
    <n v="29"/>
    <n v="0.56999999999999995"/>
    <n v="14"/>
    <n v="0.91"/>
    <x v="0"/>
  </r>
  <r>
    <s v="S898"/>
    <n v="898"/>
    <x v="1"/>
    <x v="1"/>
    <x v="1"/>
    <n v="3.62"/>
    <x v="3"/>
    <n v="86.1"/>
    <n v="0.68"/>
    <x v="1"/>
    <n v="10"/>
    <n v="75"/>
    <n v="0.91"/>
    <n v="19"/>
    <n v="0.84"/>
    <x v="0"/>
  </r>
  <r>
    <s v="S899"/>
    <n v="899"/>
    <x v="0"/>
    <x v="2"/>
    <x v="2"/>
    <n v="2.83"/>
    <x v="2"/>
    <n v="76.2"/>
    <n v="0.69"/>
    <x v="0"/>
    <n v="2"/>
    <n v="84"/>
    <n v="0.71"/>
    <n v="12"/>
    <n v="0.95"/>
    <x v="0"/>
  </r>
  <r>
    <s v="S900"/>
    <n v="900"/>
    <x v="3"/>
    <x v="1"/>
    <x v="2"/>
    <n v="2.41"/>
    <x v="3"/>
    <n v="83.8"/>
    <n v="0.9"/>
    <x v="2"/>
    <n v="36"/>
    <n v="71"/>
    <n v="0.88"/>
    <n v="8"/>
    <n v="0.53"/>
    <x v="0"/>
  </r>
  <r>
    <s v="S901"/>
    <n v="901"/>
    <x v="2"/>
    <x v="0"/>
    <x v="1"/>
    <n v="2.08"/>
    <x v="2"/>
    <n v="64.3"/>
    <n v="0.68"/>
    <x v="1"/>
    <n v="5"/>
    <n v="41"/>
    <n v="0.98"/>
    <n v="0"/>
    <n v="0.8"/>
    <x v="0"/>
  </r>
  <r>
    <s v="S902"/>
    <n v="902"/>
    <x v="1"/>
    <x v="1"/>
    <x v="3"/>
    <n v="3.16"/>
    <x v="0"/>
    <n v="60.7"/>
    <n v="0.83"/>
    <x v="2"/>
    <n v="18"/>
    <n v="67"/>
    <n v="0.92"/>
    <n v="5"/>
    <n v="0.78"/>
    <x v="1"/>
  </r>
  <r>
    <s v="S903"/>
    <n v="903"/>
    <x v="6"/>
    <x v="0"/>
    <x v="3"/>
    <n v="2.91"/>
    <x v="2"/>
    <n v="96.4"/>
    <n v="0.69"/>
    <x v="2"/>
    <n v="17"/>
    <n v="59"/>
    <n v="0.98"/>
    <n v="7"/>
    <n v="0.52"/>
    <x v="0"/>
  </r>
  <r>
    <s v="S904"/>
    <n v="904"/>
    <x v="0"/>
    <x v="2"/>
    <x v="0"/>
    <n v="3.9"/>
    <x v="1"/>
    <n v="70.8"/>
    <n v="0.94"/>
    <x v="1"/>
    <n v="15"/>
    <n v="47"/>
    <n v="0.78"/>
    <n v="19"/>
    <n v="0.76"/>
    <x v="2"/>
  </r>
  <r>
    <s v="S905"/>
    <n v="905"/>
    <x v="3"/>
    <x v="2"/>
    <x v="2"/>
    <n v="2.12"/>
    <x v="0"/>
    <n v="92.8"/>
    <n v="0.98"/>
    <x v="1"/>
    <n v="22"/>
    <n v="64"/>
    <n v="0.57999999999999996"/>
    <n v="17"/>
    <n v="0.8"/>
    <x v="0"/>
  </r>
  <r>
    <s v="S906"/>
    <n v="906"/>
    <x v="5"/>
    <x v="0"/>
    <x v="0"/>
    <n v="3.37"/>
    <x v="1"/>
    <n v="100"/>
    <n v="0.81"/>
    <x v="0"/>
    <n v="36"/>
    <n v="37"/>
    <n v="0.97"/>
    <n v="17"/>
    <n v="0.6"/>
    <x v="1"/>
  </r>
  <r>
    <s v="S907"/>
    <n v="907"/>
    <x v="5"/>
    <x v="2"/>
    <x v="0"/>
    <n v="2.0499999999999998"/>
    <x v="0"/>
    <n v="68.5"/>
    <n v="0.74"/>
    <x v="0"/>
    <n v="8"/>
    <n v="83"/>
    <n v="0.93"/>
    <n v="16"/>
    <n v="0.64"/>
    <x v="0"/>
  </r>
  <r>
    <s v="S908"/>
    <n v="908"/>
    <x v="3"/>
    <x v="2"/>
    <x v="1"/>
    <n v="2.34"/>
    <x v="3"/>
    <n v="70.599999999999994"/>
    <n v="0.69"/>
    <x v="2"/>
    <n v="2"/>
    <n v="31"/>
    <n v="0.93"/>
    <n v="15"/>
    <n v="0.82"/>
    <x v="0"/>
  </r>
  <r>
    <s v="S909"/>
    <n v="909"/>
    <x v="0"/>
    <x v="2"/>
    <x v="1"/>
    <n v="2.91"/>
    <x v="1"/>
    <n v="86.5"/>
    <n v="0.62"/>
    <x v="0"/>
    <n v="7"/>
    <n v="52"/>
    <n v="0.85"/>
    <n v="12"/>
    <n v="0.73"/>
    <x v="0"/>
  </r>
  <r>
    <s v="S910"/>
    <n v="910"/>
    <x v="6"/>
    <x v="2"/>
    <x v="0"/>
    <n v="2.91"/>
    <x v="2"/>
    <n v="98.6"/>
    <n v="0.71"/>
    <x v="2"/>
    <n v="37"/>
    <n v="45"/>
    <n v="0.81"/>
    <n v="3"/>
    <n v="0.93"/>
    <x v="0"/>
  </r>
  <r>
    <s v="S911"/>
    <n v="911"/>
    <x v="3"/>
    <x v="0"/>
    <x v="2"/>
    <n v="3.37"/>
    <x v="3"/>
    <n v="96.6"/>
    <n v="0.86"/>
    <x v="2"/>
    <n v="3"/>
    <n v="61"/>
    <n v="0.51"/>
    <n v="3"/>
    <n v="0.67"/>
    <x v="2"/>
  </r>
  <r>
    <s v="S912"/>
    <n v="912"/>
    <x v="2"/>
    <x v="1"/>
    <x v="1"/>
    <n v="3.82"/>
    <x v="2"/>
    <n v="80.099999999999994"/>
    <n v="0.81"/>
    <x v="0"/>
    <n v="11"/>
    <n v="45"/>
    <n v="0.87"/>
    <n v="13"/>
    <n v="0.63"/>
    <x v="1"/>
  </r>
  <r>
    <s v="S913"/>
    <n v="913"/>
    <x v="2"/>
    <x v="1"/>
    <x v="0"/>
    <n v="3.28"/>
    <x v="0"/>
    <n v="91.8"/>
    <n v="0.98"/>
    <x v="0"/>
    <n v="30"/>
    <n v="37"/>
    <n v="0.55000000000000004"/>
    <n v="4"/>
    <n v="0.99"/>
    <x v="2"/>
  </r>
  <r>
    <s v="S914"/>
    <n v="914"/>
    <x v="5"/>
    <x v="2"/>
    <x v="0"/>
    <n v="3.91"/>
    <x v="0"/>
    <n v="65.400000000000006"/>
    <n v="0.76"/>
    <x v="0"/>
    <n v="24"/>
    <n v="87"/>
    <n v="0.63"/>
    <n v="15"/>
    <n v="0.96"/>
    <x v="1"/>
  </r>
  <r>
    <s v="S915"/>
    <n v="915"/>
    <x v="1"/>
    <x v="1"/>
    <x v="0"/>
    <n v="3.76"/>
    <x v="2"/>
    <n v="99.1"/>
    <n v="0.88"/>
    <x v="1"/>
    <n v="15"/>
    <n v="67"/>
    <n v="0.78"/>
    <n v="13"/>
    <n v="0.51"/>
    <x v="2"/>
  </r>
  <r>
    <s v="S916"/>
    <n v="916"/>
    <x v="6"/>
    <x v="1"/>
    <x v="0"/>
    <n v="3.17"/>
    <x v="2"/>
    <n v="98.6"/>
    <n v="0.8"/>
    <x v="2"/>
    <n v="13"/>
    <n v="45"/>
    <n v="0.73"/>
    <n v="13"/>
    <n v="0.89"/>
    <x v="1"/>
  </r>
  <r>
    <s v="S917"/>
    <n v="917"/>
    <x v="5"/>
    <x v="2"/>
    <x v="0"/>
    <n v="3.67"/>
    <x v="3"/>
    <n v="66.5"/>
    <n v="0.81"/>
    <x v="2"/>
    <n v="12"/>
    <n v="79"/>
    <n v="0.51"/>
    <n v="13"/>
    <n v="0.56000000000000005"/>
    <x v="1"/>
  </r>
  <r>
    <s v="S918"/>
    <n v="918"/>
    <x v="1"/>
    <x v="2"/>
    <x v="0"/>
    <n v="3.29"/>
    <x v="2"/>
    <n v="72"/>
    <n v="0.71"/>
    <x v="2"/>
    <n v="6"/>
    <n v="18"/>
    <n v="0.91"/>
    <n v="13"/>
    <n v="0.51"/>
    <x v="0"/>
  </r>
  <r>
    <s v="S919"/>
    <n v="919"/>
    <x v="1"/>
    <x v="1"/>
    <x v="1"/>
    <n v="2.16"/>
    <x v="1"/>
    <n v="64"/>
    <n v="0.78"/>
    <x v="0"/>
    <n v="11"/>
    <n v="30"/>
    <n v="0.94"/>
    <n v="18"/>
    <n v="0.64"/>
    <x v="0"/>
  </r>
  <r>
    <s v="S920"/>
    <n v="920"/>
    <x v="4"/>
    <x v="0"/>
    <x v="2"/>
    <n v="3.48"/>
    <x v="1"/>
    <n v="70.900000000000006"/>
    <n v="0.79"/>
    <x v="0"/>
    <n v="36"/>
    <n v="73"/>
    <n v="0.84"/>
    <n v="2"/>
    <n v="0.63"/>
    <x v="1"/>
  </r>
  <r>
    <s v="S921"/>
    <n v="921"/>
    <x v="2"/>
    <x v="2"/>
    <x v="0"/>
    <n v="2.19"/>
    <x v="2"/>
    <n v="92.6"/>
    <n v="0.88"/>
    <x v="0"/>
    <n v="3"/>
    <n v="85"/>
    <n v="0.77"/>
    <n v="16"/>
    <n v="0.91"/>
    <x v="0"/>
  </r>
  <r>
    <s v="S922"/>
    <n v="922"/>
    <x v="0"/>
    <x v="0"/>
    <x v="3"/>
    <n v="3.19"/>
    <x v="1"/>
    <n v="75.099999999999994"/>
    <n v="0.98"/>
    <x v="0"/>
    <n v="1"/>
    <n v="70"/>
    <n v="0.98"/>
    <n v="13"/>
    <n v="0.86"/>
    <x v="2"/>
  </r>
  <r>
    <s v="S923"/>
    <n v="923"/>
    <x v="7"/>
    <x v="1"/>
    <x v="1"/>
    <n v="3.41"/>
    <x v="2"/>
    <n v="63.5"/>
    <n v="0.73"/>
    <x v="0"/>
    <n v="34"/>
    <n v="49"/>
    <n v="0.56000000000000005"/>
    <n v="9"/>
    <n v="0.99"/>
    <x v="0"/>
  </r>
  <r>
    <s v="S924"/>
    <n v="924"/>
    <x v="0"/>
    <x v="2"/>
    <x v="1"/>
    <n v="2.13"/>
    <x v="3"/>
    <n v="73.7"/>
    <n v="0.62"/>
    <x v="1"/>
    <n v="2"/>
    <n v="65"/>
    <n v="0.87"/>
    <n v="12"/>
    <n v="0.86"/>
    <x v="0"/>
  </r>
  <r>
    <s v="S925"/>
    <n v="925"/>
    <x v="7"/>
    <x v="0"/>
    <x v="0"/>
    <n v="2.46"/>
    <x v="1"/>
    <n v="99.3"/>
    <n v="0.8"/>
    <x v="0"/>
    <n v="3"/>
    <n v="13"/>
    <n v="0.56000000000000005"/>
    <n v="3"/>
    <n v="0.71"/>
    <x v="0"/>
  </r>
  <r>
    <s v="S926"/>
    <n v="926"/>
    <x v="3"/>
    <x v="2"/>
    <x v="1"/>
    <n v="3.83"/>
    <x v="1"/>
    <n v="85.2"/>
    <n v="0.82"/>
    <x v="2"/>
    <n v="37"/>
    <n v="40"/>
    <n v="0.69"/>
    <n v="10"/>
    <n v="0.85"/>
    <x v="1"/>
  </r>
  <r>
    <s v="S927"/>
    <n v="927"/>
    <x v="2"/>
    <x v="1"/>
    <x v="0"/>
    <n v="3.23"/>
    <x v="2"/>
    <n v="76.599999999999994"/>
    <n v="0.67"/>
    <x v="0"/>
    <n v="11"/>
    <n v="36"/>
    <n v="0.79"/>
    <n v="14"/>
    <n v="1"/>
    <x v="0"/>
  </r>
  <r>
    <s v="S928"/>
    <n v="928"/>
    <x v="1"/>
    <x v="0"/>
    <x v="2"/>
    <n v="2.4900000000000002"/>
    <x v="1"/>
    <n v="66.7"/>
    <n v="0.9"/>
    <x v="2"/>
    <n v="18"/>
    <n v="67"/>
    <n v="0.87"/>
    <n v="14"/>
    <n v="0.86"/>
    <x v="0"/>
  </r>
  <r>
    <s v="S929"/>
    <n v="929"/>
    <x v="6"/>
    <x v="1"/>
    <x v="2"/>
    <n v="3.38"/>
    <x v="0"/>
    <n v="99.4"/>
    <n v="0.99"/>
    <x v="0"/>
    <n v="9"/>
    <n v="34"/>
    <n v="0.5"/>
    <n v="1"/>
    <n v="0.88"/>
    <x v="2"/>
  </r>
  <r>
    <s v="S930"/>
    <n v="930"/>
    <x v="7"/>
    <x v="1"/>
    <x v="1"/>
    <n v="3.19"/>
    <x v="3"/>
    <n v="92.8"/>
    <n v="0.98"/>
    <x v="0"/>
    <n v="0"/>
    <n v="78"/>
    <n v="0.63"/>
    <n v="10"/>
    <n v="0.97"/>
    <x v="2"/>
  </r>
  <r>
    <s v="S931"/>
    <n v="931"/>
    <x v="0"/>
    <x v="2"/>
    <x v="1"/>
    <n v="3"/>
    <x v="3"/>
    <n v="71.3"/>
    <n v="0.68"/>
    <x v="2"/>
    <n v="16"/>
    <n v="79"/>
    <n v="0.77"/>
    <n v="1"/>
    <n v="0.56000000000000005"/>
    <x v="0"/>
  </r>
  <r>
    <s v="S932"/>
    <n v="932"/>
    <x v="1"/>
    <x v="0"/>
    <x v="3"/>
    <n v="3.95"/>
    <x v="1"/>
    <n v="62.8"/>
    <n v="0.95"/>
    <x v="2"/>
    <n v="15"/>
    <n v="14"/>
    <n v="0.77"/>
    <n v="4"/>
    <n v="0.85"/>
    <x v="2"/>
  </r>
  <r>
    <s v="S933"/>
    <n v="933"/>
    <x v="7"/>
    <x v="1"/>
    <x v="1"/>
    <n v="3.37"/>
    <x v="1"/>
    <n v="62.3"/>
    <n v="0.88"/>
    <x v="2"/>
    <n v="8"/>
    <n v="17"/>
    <n v="0.82"/>
    <n v="12"/>
    <n v="0.93"/>
    <x v="2"/>
  </r>
  <r>
    <s v="S934"/>
    <n v="934"/>
    <x v="7"/>
    <x v="1"/>
    <x v="3"/>
    <n v="2.75"/>
    <x v="0"/>
    <n v="64.8"/>
    <n v="0.78"/>
    <x v="2"/>
    <n v="8"/>
    <n v="18"/>
    <n v="0.65"/>
    <n v="0"/>
    <n v="0.98"/>
    <x v="1"/>
  </r>
  <r>
    <s v="S935"/>
    <n v="935"/>
    <x v="4"/>
    <x v="0"/>
    <x v="2"/>
    <n v="3.6"/>
    <x v="0"/>
    <n v="83.2"/>
    <n v="0.82"/>
    <x v="1"/>
    <n v="8"/>
    <n v="24"/>
    <n v="0.77"/>
    <n v="6"/>
    <n v="0.61"/>
    <x v="1"/>
  </r>
  <r>
    <s v="S936"/>
    <n v="936"/>
    <x v="7"/>
    <x v="1"/>
    <x v="2"/>
    <n v="3.77"/>
    <x v="1"/>
    <n v="97.2"/>
    <n v="0.94"/>
    <x v="2"/>
    <n v="11"/>
    <n v="16"/>
    <n v="0.59"/>
    <n v="6"/>
    <n v="0.75"/>
    <x v="2"/>
  </r>
  <r>
    <s v="S937"/>
    <n v="937"/>
    <x v="6"/>
    <x v="1"/>
    <x v="0"/>
    <n v="2.25"/>
    <x v="1"/>
    <n v="79.900000000000006"/>
    <n v="0.79"/>
    <x v="0"/>
    <n v="14"/>
    <n v="81"/>
    <n v="0.59"/>
    <n v="9"/>
    <n v="0.84"/>
    <x v="0"/>
  </r>
  <r>
    <s v="S938"/>
    <n v="938"/>
    <x v="2"/>
    <x v="0"/>
    <x v="2"/>
    <n v="2.4"/>
    <x v="0"/>
    <n v="93.7"/>
    <n v="0.75"/>
    <x v="0"/>
    <n v="1"/>
    <n v="24"/>
    <n v="0.79"/>
    <n v="5"/>
    <n v="0.62"/>
    <x v="0"/>
  </r>
  <r>
    <s v="S939"/>
    <n v="939"/>
    <x v="6"/>
    <x v="0"/>
    <x v="3"/>
    <n v="2.4300000000000002"/>
    <x v="2"/>
    <n v="77.8"/>
    <n v="0.8"/>
    <x v="1"/>
    <n v="10"/>
    <n v="46"/>
    <n v="0.84"/>
    <n v="19"/>
    <n v="0.8"/>
    <x v="0"/>
  </r>
  <r>
    <s v="S940"/>
    <n v="940"/>
    <x v="5"/>
    <x v="0"/>
    <x v="1"/>
    <n v="3.38"/>
    <x v="0"/>
    <n v="88.3"/>
    <n v="0.83"/>
    <x v="2"/>
    <n v="10"/>
    <n v="48"/>
    <n v="0.56000000000000005"/>
    <n v="11"/>
    <n v="0.63"/>
    <x v="1"/>
  </r>
  <r>
    <s v="S941"/>
    <n v="941"/>
    <x v="1"/>
    <x v="0"/>
    <x v="0"/>
    <n v="3.21"/>
    <x v="2"/>
    <n v="89.3"/>
    <n v="0.68"/>
    <x v="0"/>
    <n v="7"/>
    <n v="15"/>
    <n v="0.56000000000000005"/>
    <n v="12"/>
    <n v="0.67"/>
    <x v="0"/>
  </r>
  <r>
    <s v="S942"/>
    <n v="942"/>
    <x v="2"/>
    <x v="2"/>
    <x v="3"/>
    <n v="3.24"/>
    <x v="3"/>
    <n v="67"/>
    <n v="0.96"/>
    <x v="1"/>
    <n v="31"/>
    <n v="66"/>
    <n v="0.78"/>
    <n v="10"/>
    <n v="0.72"/>
    <x v="2"/>
  </r>
  <r>
    <s v="S943"/>
    <n v="943"/>
    <x v="4"/>
    <x v="0"/>
    <x v="1"/>
    <n v="3.88"/>
    <x v="3"/>
    <n v="74.400000000000006"/>
    <n v="0.87"/>
    <x v="0"/>
    <n v="5"/>
    <n v="28"/>
    <n v="0.64"/>
    <n v="17"/>
    <n v="0.76"/>
    <x v="2"/>
  </r>
  <r>
    <s v="S944"/>
    <n v="944"/>
    <x v="2"/>
    <x v="2"/>
    <x v="0"/>
    <n v="3.55"/>
    <x v="0"/>
    <n v="85.5"/>
    <n v="0.85"/>
    <x v="1"/>
    <n v="19"/>
    <n v="72"/>
    <n v="0.7"/>
    <n v="1"/>
    <n v="0.72"/>
    <x v="2"/>
  </r>
  <r>
    <s v="S945"/>
    <n v="945"/>
    <x v="2"/>
    <x v="2"/>
    <x v="2"/>
    <n v="2.2599999999999998"/>
    <x v="2"/>
    <n v="62.8"/>
    <n v="0.64"/>
    <x v="1"/>
    <n v="38"/>
    <n v="40"/>
    <n v="0.7"/>
    <n v="15"/>
    <n v="0.75"/>
    <x v="0"/>
  </r>
  <r>
    <s v="S946"/>
    <n v="946"/>
    <x v="0"/>
    <x v="2"/>
    <x v="3"/>
    <n v="2.7"/>
    <x v="0"/>
    <n v="74.5"/>
    <n v="0.84"/>
    <x v="2"/>
    <n v="34"/>
    <n v="84"/>
    <n v="0.59"/>
    <n v="1"/>
    <n v="0.65"/>
    <x v="1"/>
  </r>
  <r>
    <s v="S947"/>
    <n v="947"/>
    <x v="2"/>
    <x v="1"/>
    <x v="1"/>
    <n v="2.87"/>
    <x v="0"/>
    <n v="81.400000000000006"/>
    <n v="0.65"/>
    <x v="1"/>
    <n v="7"/>
    <n v="88"/>
    <n v="0.5"/>
    <n v="18"/>
    <n v="0.57999999999999996"/>
    <x v="0"/>
  </r>
  <r>
    <s v="S948"/>
    <n v="948"/>
    <x v="4"/>
    <x v="2"/>
    <x v="0"/>
    <n v="2.79"/>
    <x v="2"/>
    <n v="99.8"/>
    <n v="0.63"/>
    <x v="0"/>
    <n v="33"/>
    <n v="19"/>
    <n v="0.93"/>
    <n v="5"/>
    <n v="0.52"/>
    <x v="0"/>
  </r>
  <r>
    <s v="S949"/>
    <n v="949"/>
    <x v="6"/>
    <x v="2"/>
    <x v="0"/>
    <n v="3.34"/>
    <x v="0"/>
    <n v="79"/>
    <n v="0.81"/>
    <x v="0"/>
    <n v="18"/>
    <n v="76"/>
    <n v="0.86"/>
    <n v="0"/>
    <n v="0.6"/>
    <x v="1"/>
  </r>
  <r>
    <s v="S950"/>
    <n v="950"/>
    <x v="2"/>
    <x v="1"/>
    <x v="2"/>
    <n v="3.78"/>
    <x v="3"/>
    <n v="92.6"/>
    <n v="0.76"/>
    <x v="2"/>
    <n v="6"/>
    <n v="71"/>
    <n v="0.85"/>
    <n v="10"/>
    <n v="0.79"/>
    <x v="1"/>
  </r>
  <r>
    <s v="S951"/>
    <n v="951"/>
    <x v="3"/>
    <x v="1"/>
    <x v="1"/>
    <n v="2.61"/>
    <x v="1"/>
    <n v="77.3"/>
    <n v="0.84"/>
    <x v="2"/>
    <n v="30"/>
    <n v="12"/>
    <n v="0.77"/>
    <n v="17"/>
    <n v="0.89"/>
    <x v="1"/>
  </r>
  <r>
    <s v="S952"/>
    <n v="952"/>
    <x v="1"/>
    <x v="1"/>
    <x v="2"/>
    <n v="3.1"/>
    <x v="1"/>
    <n v="91.9"/>
    <n v="0.64"/>
    <x v="1"/>
    <n v="17"/>
    <n v="27"/>
    <n v="0.85"/>
    <n v="9"/>
    <n v="0.57999999999999996"/>
    <x v="0"/>
  </r>
  <r>
    <s v="S953"/>
    <n v="953"/>
    <x v="2"/>
    <x v="0"/>
    <x v="2"/>
    <n v="3.58"/>
    <x v="0"/>
    <n v="83.8"/>
    <n v="0.77"/>
    <x v="2"/>
    <n v="39"/>
    <n v="34"/>
    <n v="0.97"/>
    <n v="17"/>
    <n v="0.55000000000000004"/>
    <x v="1"/>
  </r>
  <r>
    <s v="S954"/>
    <n v="954"/>
    <x v="1"/>
    <x v="1"/>
    <x v="1"/>
    <n v="2.83"/>
    <x v="2"/>
    <n v="95.5"/>
    <n v="0.67"/>
    <x v="0"/>
    <n v="13"/>
    <n v="29"/>
    <n v="0.83"/>
    <n v="0"/>
    <n v="0.87"/>
    <x v="0"/>
  </r>
  <r>
    <s v="S955"/>
    <n v="955"/>
    <x v="3"/>
    <x v="1"/>
    <x v="1"/>
    <n v="2.34"/>
    <x v="2"/>
    <n v="76.400000000000006"/>
    <n v="0.99"/>
    <x v="0"/>
    <n v="38"/>
    <n v="67"/>
    <n v="0.63"/>
    <n v="18"/>
    <n v="0.65"/>
    <x v="0"/>
  </r>
  <r>
    <s v="S956"/>
    <n v="956"/>
    <x v="3"/>
    <x v="2"/>
    <x v="1"/>
    <n v="2.95"/>
    <x v="3"/>
    <n v="84.2"/>
    <n v="0.82"/>
    <x v="2"/>
    <n v="35"/>
    <n v="59"/>
    <n v="0.79"/>
    <n v="15"/>
    <n v="0.98"/>
    <x v="1"/>
  </r>
  <r>
    <s v="S957"/>
    <n v="957"/>
    <x v="1"/>
    <x v="1"/>
    <x v="3"/>
    <n v="2.11"/>
    <x v="2"/>
    <n v="85.2"/>
    <n v="0.87"/>
    <x v="2"/>
    <n v="16"/>
    <n v="88"/>
    <n v="0.72"/>
    <n v="6"/>
    <n v="0.86"/>
    <x v="0"/>
  </r>
  <r>
    <s v="S958"/>
    <n v="958"/>
    <x v="7"/>
    <x v="0"/>
    <x v="1"/>
    <n v="3.88"/>
    <x v="2"/>
    <n v="76.7"/>
    <n v="0.73"/>
    <x v="2"/>
    <n v="36"/>
    <n v="19"/>
    <n v="0.78"/>
    <n v="14"/>
    <n v="0.66"/>
    <x v="0"/>
  </r>
  <r>
    <s v="S959"/>
    <n v="959"/>
    <x v="5"/>
    <x v="1"/>
    <x v="0"/>
    <n v="2.15"/>
    <x v="3"/>
    <n v="65.8"/>
    <n v="0.64"/>
    <x v="1"/>
    <n v="8"/>
    <n v="30"/>
    <n v="0.76"/>
    <n v="0"/>
    <n v="0.64"/>
    <x v="0"/>
  </r>
  <r>
    <s v="S960"/>
    <n v="960"/>
    <x v="0"/>
    <x v="0"/>
    <x v="2"/>
    <n v="2.88"/>
    <x v="0"/>
    <n v="63.7"/>
    <n v="0.99"/>
    <x v="1"/>
    <n v="19"/>
    <n v="38"/>
    <n v="0.93"/>
    <n v="8"/>
    <n v="0.76"/>
    <x v="1"/>
  </r>
  <r>
    <s v="S961"/>
    <n v="961"/>
    <x v="7"/>
    <x v="1"/>
    <x v="3"/>
    <n v="3.06"/>
    <x v="1"/>
    <n v="60.7"/>
    <n v="0.71"/>
    <x v="0"/>
    <n v="27"/>
    <n v="19"/>
    <n v="0.83"/>
    <n v="1"/>
    <n v="0.54"/>
    <x v="0"/>
  </r>
  <r>
    <s v="S962"/>
    <n v="962"/>
    <x v="7"/>
    <x v="1"/>
    <x v="1"/>
    <n v="3.97"/>
    <x v="3"/>
    <n v="94.9"/>
    <n v="0.77"/>
    <x v="1"/>
    <n v="19"/>
    <n v="22"/>
    <n v="0.59"/>
    <n v="16"/>
    <n v="0.56000000000000005"/>
    <x v="1"/>
  </r>
  <r>
    <s v="S963"/>
    <n v="963"/>
    <x v="6"/>
    <x v="1"/>
    <x v="3"/>
    <n v="2.33"/>
    <x v="0"/>
    <n v="69.5"/>
    <n v="0.86"/>
    <x v="1"/>
    <n v="35"/>
    <n v="56"/>
    <n v="0.53"/>
    <n v="9"/>
    <n v="0.59"/>
    <x v="0"/>
  </r>
  <r>
    <s v="S964"/>
    <n v="964"/>
    <x v="0"/>
    <x v="1"/>
    <x v="1"/>
    <n v="2.23"/>
    <x v="3"/>
    <n v="68.5"/>
    <n v="0.61"/>
    <x v="1"/>
    <n v="26"/>
    <n v="32"/>
    <n v="0.71"/>
    <n v="5"/>
    <n v="0.89"/>
    <x v="0"/>
  </r>
  <r>
    <s v="S965"/>
    <n v="965"/>
    <x v="0"/>
    <x v="0"/>
    <x v="3"/>
    <n v="2.02"/>
    <x v="0"/>
    <n v="89.4"/>
    <n v="0.92"/>
    <x v="1"/>
    <n v="7"/>
    <n v="59"/>
    <n v="0.51"/>
    <n v="4"/>
    <n v="0.76"/>
    <x v="0"/>
  </r>
  <r>
    <s v="S966"/>
    <n v="966"/>
    <x v="7"/>
    <x v="0"/>
    <x v="2"/>
    <n v="2.31"/>
    <x v="3"/>
    <n v="72.8"/>
    <n v="0.81"/>
    <x v="0"/>
    <n v="31"/>
    <n v="13"/>
    <n v="0.66"/>
    <n v="7"/>
    <n v="0.51"/>
    <x v="0"/>
  </r>
  <r>
    <s v="S967"/>
    <n v="967"/>
    <x v="2"/>
    <x v="2"/>
    <x v="2"/>
    <n v="2.41"/>
    <x v="0"/>
    <n v="80.2"/>
    <n v="0.71"/>
    <x v="2"/>
    <n v="0"/>
    <n v="76"/>
    <n v="0.68"/>
    <n v="7"/>
    <n v="0.84"/>
    <x v="0"/>
  </r>
  <r>
    <s v="S968"/>
    <n v="968"/>
    <x v="6"/>
    <x v="0"/>
    <x v="0"/>
    <n v="3.26"/>
    <x v="3"/>
    <n v="66.5"/>
    <n v="0.62"/>
    <x v="0"/>
    <n v="16"/>
    <n v="62"/>
    <n v="0.69"/>
    <n v="4"/>
    <n v="0.71"/>
    <x v="0"/>
  </r>
  <r>
    <s v="S969"/>
    <n v="969"/>
    <x v="6"/>
    <x v="1"/>
    <x v="0"/>
    <n v="2.44"/>
    <x v="0"/>
    <n v="98.4"/>
    <n v="0.66"/>
    <x v="1"/>
    <n v="8"/>
    <n v="11"/>
    <n v="0.99"/>
    <n v="11"/>
    <n v="0.76"/>
    <x v="0"/>
  </r>
  <r>
    <s v="S970"/>
    <n v="970"/>
    <x v="3"/>
    <x v="2"/>
    <x v="1"/>
    <n v="2.04"/>
    <x v="3"/>
    <n v="94.1"/>
    <n v="0.96"/>
    <x v="2"/>
    <n v="19"/>
    <n v="77"/>
    <n v="0.65"/>
    <n v="6"/>
    <n v="0.61"/>
    <x v="0"/>
  </r>
  <r>
    <s v="S971"/>
    <n v="971"/>
    <x v="4"/>
    <x v="2"/>
    <x v="2"/>
    <n v="3.65"/>
    <x v="1"/>
    <n v="94.6"/>
    <n v="0.87"/>
    <x v="2"/>
    <n v="31"/>
    <n v="74"/>
    <n v="0.63"/>
    <n v="12"/>
    <n v="0.78"/>
    <x v="2"/>
  </r>
  <r>
    <s v="S972"/>
    <n v="972"/>
    <x v="0"/>
    <x v="2"/>
    <x v="3"/>
    <n v="2.73"/>
    <x v="1"/>
    <n v="76.3"/>
    <n v="0.7"/>
    <x v="2"/>
    <n v="1"/>
    <n v="88"/>
    <n v="0.56000000000000005"/>
    <n v="12"/>
    <n v="0.99"/>
    <x v="0"/>
  </r>
  <r>
    <s v="S973"/>
    <n v="973"/>
    <x v="7"/>
    <x v="1"/>
    <x v="3"/>
    <n v="2.71"/>
    <x v="2"/>
    <n v="90.5"/>
    <n v="0.63"/>
    <x v="0"/>
    <n v="31"/>
    <n v="66"/>
    <n v="0.76"/>
    <n v="16"/>
    <n v="0.54"/>
    <x v="0"/>
  </r>
  <r>
    <s v="S974"/>
    <n v="974"/>
    <x v="3"/>
    <x v="0"/>
    <x v="3"/>
    <n v="2.6"/>
    <x v="0"/>
    <n v="65.8"/>
    <n v="0.88"/>
    <x v="2"/>
    <n v="8"/>
    <n v="79"/>
    <n v="0.57999999999999996"/>
    <n v="3"/>
    <n v="0.64"/>
    <x v="1"/>
  </r>
  <r>
    <s v="S975"/>
    <n v="975"/>
    <x v="1"/>
    <x v="1"/>
    <x v="0"/>
    <n v="3.95"/>
    <x v="3"/>
    <n v="60.3"/>
    <n v="0.83"/>
    <x v="0"/>
    <n v="29"/>
    <n v="16"/>
    <n v="0.81"/>
    <n v="17"/>
    <n v="0.62"/>
    <x v="1"/>
  </r>
  <r>
    <s v="S976"/>
    <n v="976"/>
    <x v="5"/>
    <x v="2"/>
    <x v="3"/>
    <n v="2.34"/>
    <x v="0"/>
    <n v="60.8"/>
    <n v="0.76"/>
    <x v="0"/>
    <n v="19"/>
    <n v="28"/>
    <n v="0.57999999999999996"/>
    <n v="9"/>
    <n v="0.62"/>
    <x v="0"/>
  </r>
  <r>
    <s v="S977"/>
    <n v="977"/>
    <x v="4"/>
    <x v="1"/>
    <x v="0"/>
    <n v="3.8"/>
    <x v="1"/>
    <n v="83.5"/>
    <n v="0.75"/>
    <x v="1"/>
    <n v="37"/>
    <n v="53"/>
    <n v="0.79"/>
    <n v="2"/>
    <n v="0.69"/>
    <x v="1"/>
  </r>
  <r>
    <s v="S978"/>
    <n v="978"/>
    <x v="4"/>
    <x v="1"/>
    <x v="0"/>
    <n v="3.55"/>
    <x v="0"/>
    <n v="78.2"/>
    <n v="0.69"/>
    <x v="1"/>
    <n v="0"/>
    <n v="72"/>
    <n v="0.91"/>
    <n v="11"/>
    <n v="0.91"/>
    <x v="0"/>
  </r>
  <r>
    <s v="S979"/>
    <n v="979"/>
    <x v="4"/>
    <x v="0"/>
    <x v="1"/>
    <n v="2.15"/>
    <x v="3"/>
    <n v="80.7"/>
    <n v="0.87"/>
    <x v="2"/>
    <n v="4"/>
    <n v="74"/>
    <n v="0.52"/>
    <n v="0"/>
    <n v="0.96"/>
    <x v="0"/>
  </r>
  <r>
    <s v="S980"/>
    <n v="980"/>
    <x v="6"/>
    <x v="0"/>
    <x v="3"/>
    <n v="3.97"/>
    <x v="0"/>
    <n v="60.3"/>
    <n v="0.99"/>
    <x v="2"/>
    <n v="34"/>
    <n v="48"/>
    <n v="0.71"/>
    <n v="10"/>
    <n v="0.6"/>
    <x v="2"/>
  </r>
  <r>
    <s v="S981"/>
    <n v="981"/>
    <x v="1"/>
    <x v="2"/>
    <x v="3"/>
    <n v="2.54"/>
    <x v="3"/>
    <n v="76.900000000000006"/>
    <n v="0.67"/>
    <x v="1"/>
    <n v="35"/>
    <n v="35"/>
    <n v="0.73"/>
    <n v="17"/>
    <n v="0.77"/>
    <x v="0"/>
  </r>
  <r>
    <s v="S982"/>
    <n v="982"/>
    <x v="4"/>
    <x v="1"/>
    <x v="2"/>
    <n v="2.2000000000000002"/>
    <x v="1"/>
    <n v="88.7"/>
    <n v="0.84"/>
    <x v="0"/>
    <n v="0"/>
    <n v="53"/>
    <n v="0.9"/>
    <n v="12"/>
    <n v="0.82"/>
    <x v="0"/>
  </r>
  <r>
    <s v="S983"/>
    <n v="983"/>
    <x v="1"/>
    <x v="1"/>
    <x v="1"/>
    <n v="3.66"/>
    <x v="1"/>
    <n v="77.7"/>
    <n v="0.77"/>
    <x v="0"/>
    <n v="13"/>
    <n v="21"/>
    <n v="0.73"/>
    <n v="16"/>
    <n v="0.76"/>
    <x v="1"/>
  </r>
  <r>
    <s v="S984"/>
    <n v="984"/>
    <x v="2"/>
    <x v="0"/>
    <x v="2"/>
    <n v="3.41"/>
    <x v="1"/>
    <n v="89.3"/>
    <n v="0.78"/>
    <x v="1"/>
    <n v="8"/>
    <n v="31"/>
    <n v="0.78"/>
    <n v="7"/>
    <n v="0.72"/>
    <x v="1"/>
  </r>
  <r>
    <s v="S985"/>
    <n v="985"/>
    <x v="4"/>
    <x v="1"/>
    <x v="1"/>
    <n v="3.23"/>
    <x v="2"/>
    <n v="69.3"/>
    <n v="0.7"/>
    <x v="0"/>
    <n v="29"/>
    <n v="86"/>
    <n v="0.9"/>
    <n v="19"/>
    <n v="0.6"/>
    <x v="0"/>
  </r>
  <r>
    <s v="S986"/>
    <n v="986"/>
    <x v="5"/>
    <x v="1"/>
    <x v="3"/>
    <n v="2.31"/>
    <x v="1"/>
    <n v="92.5"/>
    <n v="0.93"/>
    <x v="1"/>
    <n v="23"/>
    <n v="23"/>
    <n v="0.78"/>
    <n v="18"/>
    <n v="0.74"/>
    <x v="0"/>
  </r>
  <r>
    <s v="S987"/>
    <n v="987"/>
    <x v="1"/>
    <x v="1"/>
    <x v="0"/>
    <n v="2.96"/>
    <x v="0"/>
    <n v="83.5"/>
    <n v="0.79"/>
    <x v="1"/>
    <n v="3"/>
    <n v="39"/>
    <n v="0.68"/>
    <n v="16"/>
    <n v="0.7"/>
    <x v="1"/>
  </r>
  <r>
    <s v="S988"/>
    <n v="988"/>
    <x v="1"/>
    <x v="0"/>
    <x v="0"/>
    <n v="3.56"/>
    <x v="2"/>
    <n v="68.400000000000006"/>
    <n v="0.82"/>
    <x v="2"/>
    <n v="13"/>
    <n v="53"/>
    <n v="0.54"/>
    <n v="1"/>
    <n v="0.9"/>
    <x v="1"/>
  </r>
  <r>
    <s v="S989"/>
    <n v="989"/>
    <x v="5"/>
    <x v="2"/>
    <x v="0"/>
    <n v="2.61"/>
    <x v="1"/>
    <n v="69.5"/>
    <n v="0.72"/>
    <x v="2"/>
    <n v="24"/>
    <n v="47"/>
    <n v="0.86"/>
    <n v="2"/>
    <n v="0.88"/>
    <x v="0"/>
  </r>
  <r>
    <s v="S990"/>
    <n v="990"/>
    <x v="4"/>
    <x v="2"/>
    <x v="0"/>
    <n v="2.62"/>
    <x v="0"/>
    <n v="85.1"/>
    <n v="0.67"/>
    <x v="1"/>
    <n v="3"/>
    <n v="68"/>
    <n v="0.94"/>
    <n v="2"/>
    <n v="0.56999999999999995"/>
    <x v="0"/>
  </r>
  <r>
    <s v="S991"/>
    <n v="991"/>
    <x v="5"/>
    <x v="1"/>
    <x v="0"/>
    <n v="2.0099999999999998"/>
    <x v="0"/>
    <n v="93.2"/>
    <n v="0.63"/>
    <x v="2"/>
    <n v="24"/>
    <n v="51"/>
    <n v="0.99"/>
    <n v="5"/>
    <n v="0.54"/>
    <x v="0"/>
  </r>
  <r>
    <s v="S992"/>
    <n v="992"/>
    <x v="1"/>
    <x v="2"/>
    <x v="2"/>
    <n v="2.35"/>
    <x v="0"/>
    <n v="76.599999999999994"/>
    <n v="0.89"/>
    <x v="1"/>
    <n v="9"/>
    <n v="61"/>
    <n v="0.96"/>
    <n v="9"/>
    <n v="0.95"/>
    <x v="0"/>
  </r>
  <r>
    <s v="S993"/>
    <n v="993"/>
    <x v="5"/>
    <x v="0"/>
    <x v="1"/>
    <n v="3.75"/>
    <x v="3"/>
    <n v="70.3"/>
    <n v="0.68"/>
    <x v="0"/>
    <n v="34"/>
    <n v="72"/>
    <n v="0.9"/>
    <n v="17"/>
    <n v="0.77"/>
    <x v="0"/>
  </r>
  <r>
    <s v="S994"/>
    <n v="994"/>
    <x v="1"/>
    <x v="0"/>
    <x v="3"/>
    <n v="2.88"/>
    <x v="2"/>
    <n v="94.7"/>
    <n v="0.88"/>
    <x v="0"/>
    <n v="6"/>
    <n v="70"/>
    <n v="0.82"/>
    <n v="17"/>
    <n v="0.93"/>
    <x v="1"/>
  </r>
  <r>
    <s v="S995"/>
    <n v="995"/>
    <x v="1"/>
    <x v="2"/>
    <x v="2"/>
    <n v="3.97"/>
    <x v="0"/>
    <n v="86.8"/>
    <n v="0.76"/>
    <x v="0"/>
    <n v="12"/>
    <n v="43"/>
    <n v="0.89"/>
    <n v="13"/>
    <n v="0.53"/>
    <x v="1"/>
  </r>
  <r>
    <s v="S996"/>
    <n v="996"/>
    <x v="2"/>
    <x v="2"/>
    <x v="1"/>
    <n v="2.79"/>
    <x v="3"/>
    <n v="77.900000000000006"/>
    <n v="0.77"/>
    <x v="0"/>
    <n v="3"/>
    <n v="48"/>
    <n v="0.72"/>
    <n v="15"/>
    <n v="0.76"/>
    <x v="1"/>
  </r>
  <r>
    <s v="S997"/>
    <n v="997"/>
    <x v="7"/>
    <x v="1"/>
    <x v="0"/>
    <n v="3.43"/>
    <x v="1"/>
    <n v="79.5"/>
    <n v="0.79"/>
    <x v="1"/>
    <n v="35"/>
    <n v="50"/>
    <n v="0.8"/>
    <n v="6"/>
    <n v="0.77"/>
    <x v="1"/>
  </r>
  <r>
    <s v="S998"/>
    <n v="998"/>
    <x v="1"/>
    <x v="2"/>
    <x v="1"/>
    <n v="2.56"/>
    <x v="0"/>
    <n v="68.2"/>
    <n v="0.75"/>
    <x v="0"/>
    <n v="13"/>
    <n v="46"/>
    <n v="0.67"/>
    <n v="0"/>
    <n v="0.93"/>
    <x v="1"/>
  </r>
  <r>
    <s v="S999"/>
    <n v="999"/>
    <x v="4"/>
    <x v="1"/>
    <x v="1"/>
    <n v="2.73"/>
    <x v="3"/>
    <n v="85.1"/>
    <n v="0.64"/>
    <x v="0"/>
    <n v="17"/>
    <n v="74"/>
    <n v="0.66"/>
    <n v="16"/>
    <n v="0.55000000000000004"/>
    <x v="0"/>
  </r>
  <r>
    <s v="S1000"/>
    <n v="1000"/>
    <x v="3"/>
    <x v="1"/>
    <x v="0"/>
    <n v="2.38"/>
    <x v="0"/>
    <n v="74.3"/>
    <n v="0.72"/>
    <x v="0"/>
    <n v="7"/>
    <n v="88"/>
    <n v="0.88"/>
    <n v="4"/>
    <n v="0.62"/>
    <x v="0"/>
  </r>
  <r>
    <s v="S1001"/>
    <n v="1001"/>
    <x v="6"/>
    <x v="0"/>
    <x v="0"/>
    <n v="2.69"/>
    <x v="2"/>
    <n v="99.8"/>
    <n v="0.87"/>
    <x v="0"/>
    <n v="31"/>
    <n v="41"/>
    <n v="0.73"/>
    <n v="0"/>
    <n v="0.7"/>
    <x v="1"/>
  </r>
  <r>
    <s v="S1002"/>
    <n v="1002"/>
    <x v="0"/>
    <x v="0"/>
    <x v="0"/>
    <n v="3.09"/>
    <x v="2"/>
    <n v="79.2"/>
    <n v="0.87"/>
    <x v="1"/>
    <n v="26"/>
    <n v="17"/>
    <n v="0.61"/>
    <n v="16"/>
    <n v="0.93"/>
    <x v="2"/>
  </r>
  <r>
    <s v="S1003"/>
    <n v="1003"/>
    <x v="7"/>
    <x v="0"/>
    <x v="3"/>
    <n v="3.98"/>
    <x v="1"/>
    <n v="79.400000000000006"/>
    <n v="0.71"/>
    <x v="0"/>
    <n v="36"/>
    <n v="27"/>
    <n v="0.6"/>
    <n v="9"/>
    <n v="0.97"/>
    <x v="0"/>
  </r>
  <r>
    <s v="S1004"/>
    <n v="1004"/>
    <x v="7"/>
    <x v="0"/>
    <x v="0"/>
    <n v="3.33"/>
    <x v="0"/>
    <n v="82.6"/>
    <n v="0.78"/>
    <x v="2"/>
    <n v="22"/>
    <n v="54"/>
    <n v="0.93"/>
    <n v="11"/>
    <n v="1"/>
    <x v="1"/>
  </r>
  <r>
    <s v="S1005"/>
    <n v="1005"/>
    <x v="7"/>
    <x v="2"/>
    <x v="3"/>
    <n v="2.4"/>
    <x v="3"/>
    <n v="96.7"/>
    <n v="0.68"/>
    <x v="2"/>
    <n v="6"/>
    <n v="42"/>
    <n v="0.84"/>
    <n v="19"/>
    <n v="0.98"/>
    <x v="0"/>
  </r>
  <r>
    <s v="S1006"/>
    <n v="1006"/>
    <x v="2"/>
    <x v="0"/>
    <x v="0"/>
    <n v="2.09"/>
    <x v="1"/>
    <n v="92"/>
    <n v="0.68"/>
    <x v="2"/>
    <n v="11"/>
    <n v="14"/>
    <n v="0.77"/>
    <n v="1"/>
    <n v="0.5"/>
    <x v="0"/>
  </r>
  <r>
    <s v="S1007"/>
    <n v="1007"/>
    <x v="1"/>
    <x v="2"/>
    <x v="3"/>
    <n v="2.25"/>
    <x v="0"/>
    <n v="78"/>
    <n v="0.61"/>
    <x v="2"/>
    <n v="24"/>
    <n v="83"/>
    <n v="0.7"/>
    <n v="15"/>
    <n v="0.52"/>
    <x v="0"/>
  </r>
  <r>
    <s v="S1008"/>
    <n v="1008"/>
    <x v="2"/>
    <x v="0"/>
    <x v="1"/>
    <n v="3.13"/>
    <x v="1"/>
    <n v="88.7"/>
    <n v="0.96"/>
    <x v="2"/>
    <n v="2"/>
    <n v="45"/>
    <n v="0.72"/>
    <n v="14"/>
    <n v="0.56999999999999995"/>
    <x v="2"/>
  </r>
  <r>
    <s v="S1009"/>
    <n v="1009"/>
    <x v="1"/>
    <x v="2"/>
    <x v="2"/>
    <n v="3.53"/>
    <x v="3"/>
    <n v="83.4"/>
    <n v="0.68"/>
    <x v="2"/>
    <n v="25"/>
    <n v="32"/>
    <n v="0.53"/>
    <n v="12"/>
    <n v="0.67"/>
    <x v="0"/>
  </r>
  <r>
    <s v="S1010"/>
    <n v="1010"/>
    <x v="4"/>
    <x v="1"/>
    <x v="1"/>
    <n v="3.88"/>
    <x v="1"/>
    <n v="79.7"/>
    <n v="0.69"/>
    <x v="1"/>
    <n v="3"/>
    <n v="49"/>
    <n v="0.73"/>
    <n v="17"/>
    <n v="0.91"/>
    <x v="0"/>
  </r>
  <r>
    <s v="S1011"/>
    <n v="1011"/>
    <x v="2"/>
    <x v="2"/>
    <x v="1"/>
    <n v="2.0299999999999998"/>
    <x v="1"/>
    <n v="67.7"/>
    <n v="0.71"/>
    <x v="2"/>
    <n v="35"/>
    <n v="14"/>
    <n v="0.9"/>
    <n v="19"/>
    <n v="0.95"/>
    <x v="0"/>
  </r>
  <r>
    <s v="S1012"/>
    <n v="1012"/>
    <x v="2"/>
    <x v="2"/>
    <x v="0"/>
    <n v="3.05"/>
    <x v="1"/>
    <n v="78.599999999999994"/>
    <n v="0.65"/>
    <x v="0"/>
    <n v="14"/>
    <n v="43"/>
    <n v="0.69"/>
    <n v="13"/>
    <n v="0.59"/>
    <x v="0"/>
  </r>
  <r>
    <s v="S1013"/>
    <n v="1013"/>
    <x v="6"/>
    <x v="0"/>
    <x v="3"/>
    <n v="2.94"/>
    <x v="0"/>
    <n v="69.8"/>
    <n v="0.86"/>
    <x v="2"/>
    <n v="31"/>
    <n v="33"/>
    <n v="0.69"/>
    <n v="17"/>
    <n v="0.81"/>
    <x v="1"/>
  </r>
  <r>
    <s v="S1014"/>
    <n v="1014"/>
    <x v="3"/>
    <x v="2"/>
    <x v="2"/>
    <n v="3.31"/>
    <x v="3"/>
    <n v="96.6"/>
    <n v="0.63"/>
    <x v="1"/>
    <n v="28"/>
    <n v="26"/>
    <n v="0.51"/>
    <n v="1"/>
    <n v="0.96"/>
    <x v="0"/>
  </r>
  <r>
    <s v="S1015"/>
    <n v="1015"/>
    <x v="2"/>
    <x v="1"/>
    <x v="0"/>
    <n v="3.12"/>
    <x v="2"/>
    <n v="73.400000000000006"/>
    <n v="0.65"/>
    <x v="2"/>
    <n v="9"/>
    <n v="80"/>
    <n v="0.73"/>
    <n v="1"/>
    <n v="0.73"/>
    <x v="0"/>
  </r>
  <r>
    <s v="S1016"/>
    <n v="1016"/>
    <x v="6"/>
    <x v="1"/>
    <x v="0"/>
    <n v="3.37"/>
    <x v="0"/>
    <n v="98.1"/>
    <n v="0.86"/>
    <x v="0"/>
    <n v="20"/>
    <n v="31"/>
    <n v="0.51"/>
    <n v="2"/>
    <n v="0.55000000000000004"/>
    <x v="2"/>
  </r>
  <r>
    <s v="S1017"/>
    <n v="1017"/>
    <x v="5"/>
    <x v="0"/>
    <x v="0"/>
    <n v="3.32"/>
    <x v="2"/>
    <n v="81.3"/>
    <n v="0.74"/>
    <x v="0"/>
    <n v="15"/>
    <n v="24"/>
    <n v="0.79"/>
    <n v="4"/>
    <n v="0.73"/>
    <x v="0"/>
  </r>
  <r>
    <s v="S1018"/>
    <n v="1018"/>
    <x v="3"/>
    <x v="1"/>
    <x v="1"/>
    <n v="2.23"/>
    <x v="2"/>
    <n v="85.3"/>
    <n v="0.88"/>
    <x v="1"/>
    <n v="18"/>
    <n v="24"/>
    <n v="0.75"/>
    <n v="15"/>
    <n v="0.69"/>
    <x v="0"/>
  </r>
  <r>
    <s v="S1019"/>
    <n v="1019"/>
    <x v="4"/>
    <x v="2"/>
    <x v="3"/>
    <n v="3.6"/>
    <x v="0"/>
    <n v="81.7"/>
    <n v="0.82"/>
    <x v="1"/>
    <n v="28"/>
    <n v="34"/>
    <n v="0.92"/>
    <n v="14"/>
    <n v="0.79"/>
    <x v="1"/>
  </r>
  <r>
    <s v="S1020"/>
    <n v="1020"/>
    <x v="2"/>
    <x v="1"/>
    <x v="3"/>
    <n v="2.25"/>
    <x v="0"/>
    <n v="65.2"/>
    <n v="0.7"/>
    <x v="1"/>
    <n v="17"/>
    <n v="62"/>
    <n v="0.79"/>
    <n v="11"/>
    <n v="0.72"/>
    <x v="0"/>
  </r>
  <r>
    <s v="S1021"/>
    <n v="1021"/>
    <x v="0"/>
    <x v="0"/>
    <x v="2"/>
    <n v="3.4"/>
    <x v="3"/>
    <n v="75"/>
    <n v="0.86"/>
    <x v="1"/>
    <n v="15"/>
    <n v="30"/>
    <n v="0.66"/>
    <n v="8"/>
    <n v="0.51"/>
    <x v="2"/>
  </r>
  <r>
    <s v="S1022"/>
    <n v="1022"/>
    <x v="7"/>
    <x v="2"/>
    <x v="3"/>
    <n v="2.83"/>
    <x v="3"/>
    <n v="64"/>
    <n v="0.65"/>
    <x v="2"/>
    <n v="0"/>
    <n v="75"/>
    <n v="0.76"/>
    <n v="13"/>
    <n v="1"/>
    <x v="0"/>
  </r>
  <r>
    <s v="S1023"/>
    <n v="1023"/>
    <x v="5"/>
    <x v="0"/>
    <x v="3"/>
    <n v="3.03"/>
    <x v="1"/>
    <n v="84.9"/>
    <n v="0.81"/>
    <x v="2"/>
    <n v="1"/>
    <n v="41"/>
    <n v="0.85"/>
    <n v="15"/>
    <n v="0.77"/>
    <x v="1"/>
  </r>
  <r>
    <s v="S1024"/>
    <n v="1024"/>
    <x v="5"/>
    <x v="2"/>
    <x v="0"/>
    <n v="3.81"/>
    <x v="2"/>
    <n v="77.900000000000006"/>
    <n v="0.77"/>
    <x v="0"/>
    <n v="14"/>
    <n v="30"/>
    <n v="0.55000000000000004"/>
    <n v="10"/>
    <n v="0.74"/>
    <x v="1"/>
  </r>
  <r>
    <s v="S1025"/>
    <n v="1025"/>
    <x v="4"/>
    <x v="1"/>
    <x v="0"/>
    <n v="3.78"/>
    <x v="3"/>
    <n v="91.1"/>
    <n v="0.71"/>
    <x v="1"/>
    <n v="38"/>
    <n v="77"/>
    <n v="0.81"/>
    <n v="5"/>
    <n v="0.98"/>
    <x v="0"/>
  </r>
  <r>
    <s v="S1026"/>
    <n v="1026"/>
    <x v="6"/>
    <x v="0"/>
    <x v="1"/>
    <n v="3.64"/>
    <x v="1"/>
    <n v="68.8"/>
    <n v="0.84"/>
    <x v="1"/>
    <n v="27"/>
    <n v="53"/>
    <n v="0.96"/>
    <n v="9"/>
    <n v="0.57999999999999996"/>
    <x v="1"/>
  </r>
  <r>
    <s v="S1027"/>
    <n v="1027"/>
    <x v="5"/>
    <x v="0"/>
    <x v="0"/>
    <n v="3.02"/>
    <x v="3"/>
    <n v="66.599999999999994"/>
    <n v="0.95"/>
    <x v="2"/>
    <n v="0"/>
    <n v="75"/>
    <n v="0.65"/>
    <n v="7"/>
    <n v="0.59"/>
    <x v="2"/>
  </r>
  <r>
    <s v="S1028"/>
    <n v="1028"/>
    <x v="3"/>
    <x v="2"/>
    <x v="0"/>
    <n v="3.47"/>
    <x v="0"/>
    <n v="76.3"/>
    <n v="1"/>
    <x v="1"/>
    <n v="4"/>
    <n v="23"/>
    <n v="0.81"/>
    <n v="15"/>
    <n v="0.9"/>
    <x v="2"/>
  </r>
  <r>
    <s v="S1029"/>
    <n v="1029"/>
    <x v="2"/>
    <x v="0"/>
    <x v="0"/>
    <n v="3.03"/>
    <x v="3"/>
    <n v="97.1"/>
    <n v="0.84"/>
    <x v="0"/>
    <n v="21"/>
    <n v="24"/>
    <n v="0.91"/>
    <n v="2"/>
    <n v="0.63"/>
    <x v="1"/>
  </r>
  <r>
    <s v="S1030"/>
    <n v="1030"/>
    <x v="2"/>
    <x v="2"/>
    <x v="0"/>
    <n v="3.74"/>
    <x v="2"/>
    <n v="88.4"/>
    <n v="0.76"/>
    <x v="0"/>
    <n v="35"/>
    <n v="29"/>
    <n v="0.76"/>
    <n v="1"/>
    <n v="0.9"/>
    <x v="1"/>
  </r>
  <r>
    <s v="S1031"/>
    <n v="1031"/>
    <x v="0"/>
    <x v="2"/>
    <x v="1"/>
    <n v="2.81"/>
    <x v="3"/>
    <n v="76.8"/>
    <n v="0.69"/>
    <x v="1"/>
    <n v="12"/>
    <n v="43"/>
    <n v="0.86"/>
    <n v="15"/>
    <n v="0.64"/>
    <x v="0"/>
  </r>
  <r>
    <s v="S1032"/>
    <n v="1032"/>
    <x v="4"/>
    <x v="2"/>
    <x v="0"/>
    <n v="3.94"/>
    <x v="2"/>
    <n v="80.7"/>
    <n v="0.7"/>
    <x v="0"/>
    <n v="0"/>
    <n v="45"/>
    <n v="0.66"/>
    <n v="18"/>
    <n v="0.52"/>
    <x v="0"/>
  </r>
  <r>
    <s v="S1033"/>
    <n v="1033"/>
    <x v="7"/>
    <x v="2"/>
    <x v="2"/>
    <n v="3.86"/>
    <x v="0"/>
    <n v="63.4"/>
    <n v="0.79"/>
    <x v="0"/>
    <n v="15"/>
    <n v="18"/>
    <n v="0.65"/>
    <n v="8"/>
    <n v="0.76"/>
    <x v="1"/>
  </r>
  <r>
    <s v="S1034"/>
    <n v="1034"/>
    <x v="6"/>
    <x v="1"/>
    <x v="2"/>
    <n v="3.48"/>
    <x v="2"/>
    <n v="99.4"/>
    <n v="0.75"/>
    <x v="2"/>
    <n v="21"/>
    <n v="80"/>
    <n v="0.83"/>
    <n v="15"/>
    <n v="0.6"/>
    <x v="1"/>
  </r>
  <r>
    <s v="S1035"/>
    <n v="1035"/>
    <x v="7"/>
    <x v="2"/>
    <x v="2"/>
    <n v="2.56"/>
    <x v="3"/>
    <n v="86.7"/>
    <n v="0.97"/>
    <x v="0"/>
    <n v="31"/>
    <n v="39"/>
    <n v="0.85"/>
    <n v="3"/>
    <n v="0.88"/>
    <x v="1"/>
  </r>
  <r>
    <s v="S1036"/>
    <n v="1036"/>
    <x v="5"/>
    <x v="0"/>
    <x v="2"/>
    <n v="2.2599999999999998"/>
    <x v="1"/>
    <n v="71.400000000000006"/>
    <n v="0.75"/>
    <x v="1"/>
    <n v="15"/>
    <n v="86"/>
    <n v="0.97"/>
    <n v="9"/>
    <n v="0.82"/>
    <x v="0"/>
  </r>
  <r>
    <s v="S1037"/>
    <n v="1037"/>
    <x v="4"/>
    <x v="1"/>
    <x v="0"/>
    <n v="3.71"/>
    <x v="0"/>
    <n v="83.4"/>
    <n v="0.75"/>
    <x v="1"/>
    <n v="14"/>
    <n v="72"/>
    <n v="0.61"/>
    <n v="18"/>
    <n v="0.96"/>
    <x v="1"/>
  </r>
  <r>
    <s v="S1038"/>
    <n v="1038"/>
    <x v="0"/>
    <x v="0"/>
    <x v="2"/>
    <n v="2.33"/>
    <x v="3"/>
    <n v="64.400000000000006"/>
    <n v="0.75"/>
    <x v="0"/>
    <n v="11"/>
    <n v="44"/>
    <n v="0.73"/>
    <n v="12"/>
    <n v="0.89"/>
    <x v="0"/>
  </r>
  <r>
    <s v="S1039"/>
    <n v="1039"/>
    <x v="7"/>
    <x v="1"/>
    <x v="0"/>
    <n v="3.71"/>
    <x v="0"/>
    <n v="98.6"/>
    <n v="0.93"/>
    <x v="1"/>
    <n v="0"/>
    <n v="22"/>
    <n v="0.63"/>
    <n v="17"/>
    <n v="0.59"/>
    <x v="2"/>
  </r>
  <r>
    <s v="S1040"/>
    <n v="1040"/>
    <x v="3"/>
    <x v="2"/>
    <x v="1"/>
    <n v="2.98"/>
    <x v="0"/>
    <n v="67"/>
    <n v="0.86"/>
    <x v="2"/>
    <n v="16"/>
    <n v="88"/>
    <n v="0.54"/>
    <n v="14"/>
    <n v="0.9"/>
    <x v="1"/>
  </r>
  <r>
    <s v="S1041"/>
    <n v="1041"/>
    <x v="2"/>
    <x v="1"/>
    <x v="2"/>
    <n v="2.81"/>
    <x v="3"/>
    <n v="85.9"/>
    <n v="0.85"/>
    <x v="0"/>
    <n v="27"/>
    <n v="55"/>
    <n v="0.7"/>
    <n v="3"/>
    <n v="0.82"/>
    <x v="1"/>
  </r>
  <r>
    <s v="S1042"/>
    <n v="1042"/>
    <x v="5"/>
    <x v="1"/>
    <x v="3"/>
    <n v="3.81"/>
    <x v="3"/>
    <n v="69.8"/>
    <n v="0.73"/>
    <x v="0"/>
    <n v="6"/>
    <n v="65"/>
    <n v="0.69"/>
    <n v="8"/>
    <n v="0.83"/>
    <x v="0"/>
  </r>
  <r>
    <s v="S1043"/>
    <n v="1043"/>
    <x v="0"/>
    <x v="0"/>
    <x v="2"/>
    <n v="3.21"/>
    <x v="1"/>
    <n v="88.7"/>
    <n v="0.93"/>
    <x v="0"/>
    <n v="8"/>
    <n v="18"/>
    <n v="0.64"/>
    <n v="3"/>
    <n v="0.92"/>
    <x v="2"/>
  </r>
  <r>
    <s v="S1044"/>
    <n v="1044"/>
    <x v="7"/>
    <x v="0"/>
    <x v="2"/>
    <n v="3.15"/>
    <x v="0"/>
    <n v="91.1"/>
    <n v="0.62"/>
    <x v="1"/>
    <n v="21"/>
    <n v="45"/>
    <n v="0.65"/>
    <n v="15"/>
    <n v="0.79"/>
    <x v="0"/>
  </r>
  <r>
    <s v="S1045"/>
    <n v="1045"/>
    <x v="6"/>
    <x v="2"/>
    <x v="0"/>
    <n v="3.12"/>
    <x v="0"/>
    <n v="86.9"/>
    <n v="0.95"/>
    <x v="1"/>
    <n v="25"/>
    <n v="12"/>
    <n v="0.68"/>
    <n v="14"/>
    <n v="0.73"/>
    <x v="2"/>
  </r>
  <r>
    <s v="S1046"/>
    <n v="1046"/>
    <x v="3"/>
    <x v="1"/>
    <x v="2"/>
    <n v="2.74"/>
    <x v="3"/>
    <n v="84.6"/>
    <n v="0.81"/>
    <x v="0"/>
    <n v="11"/>
    <n v="28"/>
    <n v="0.99"/>
    <n v="1"/>
    <n v="0.82"/>
    <x v="1"/>
  </r>
  <r>
    <s v="S1047"/>
    <n v="1047"/>
    <x v="3"/>
    <x v="1"/>
    <x v="3"/>
    <n v="3.57"/>
    <x v="2"/>
    <n v="95.7"/>
    <n v="0.76"/>
    <x v="1"/>
    <n v="6"/>
    <n v="37"/>
    <n v="0.89"/>
    <n v="13"/>
    <n v="0.65"/>
    <x v="1"/>
  </r>
  <r>
    <s v="S1048"/>
    <n v="1048"/>
    <x v="7"/>
    <x v="1"/>
    <x v="0"/>
    <n v="2.5099999999999998"/>
    <x v="3"/>
    <n v="63.1"/>
    <n v="0.8"/>
    <x v="1"/>
    <n v="14"/>
    <n v="32"/>
    <n v="0.54"/>
    <n v="2"/>
    <n v="0.59"/>
    <x v="1"/>
  </r>
  <r>
    <s v="S1049"/>
    <n v="1049"/>
    <x v="2"/>
    <x v="2"/>
    <x v="0"/>
    <n v="3.88"/>
    <x v="0"/>
    <n v="73.2"/>
    <n v="0.87"/>
    <x v="0"/>
    <n v="37"/>
    <n v="16"/>
    <n v="0.94"/>
    <n v="3"/>
    <n v="0.81"/>
    <x v="2"/>
  </r>
  <r>
    <s v="S1050"/>
    <n v="1050"/>
    <x v="7"/>
    <x v="2"/>
    <x v="1"/>
    <n v="3.79"/>
    <x v="3"/>
    <n v="69.900000000000006"/>
    <n v="0.61"/>
    <x v="0"/>
    <n v="20"/>
    <n v="85"/>
    <n v="0.82"/>
    <n v="0"/>
    <n v="0.62"/>
    <x v="0"/>
  </r>
  <r>
    <s v="S1051"/>
    <n v="1051"/>
    <x v="5"/>
    <x v="2"/>
    <x v="1"/>
    <n v="2.67"/>
    <x v="1"/>
    <n v="99.5"/>
    <n v="0.95"/>
    <x v="1"/>
    <n v="13"/>
    <n v="23"/>
    <n v="0.95"/>
    <n v="8"/>
    <n v="0.54"/>
    <x v="1"/>
  </r>
  <r>
    <s v="S1052"/>
    <n v="1052"/>
    <x v="7"/>
    <x v="2"/>
    <x v="2"/>
    <n v="3.46"/>
    <x v="2"/>
    <n v="75.599999999999994"/>
    <n v="0.78"/>
    <x v="0"/>
    <n v="1"/>
    <n v="55"/>
    <n v="0.67"/>
    <n v="16"/>
    <n v="0.5"/>
    <x v="1"/>
  </r>
  <r>
    <s v="S1053"/>
    <n v="1053"/>
    <x v="3"/>
    <x v="2"/>
    <x v="1"/>
    <n v="3.15"/>
    <x v="3"/>
    <n v="89.3"/>
    <n v="0.74"/>
    <x v="0"/>
    <n v="7"/>
    <n v="24"/>
    <n v="0.73"/>
    <n v="13"/>
    <n v="0.8"/>
    <x v="0"/>
  </r>
  <r>
    <s v="S1054"/>
    <n v="1054"/>
    <x v="0"/>
    <x v="0"/>
    <x v="1"/>
    <n v="2.68"/>
    <x v="1"/>
    <n v="87.4"/>
    <n v="0.66"/>
    <x v="0"/>
    <n v="5"/>
    <n v="76"/>
    <n v="0.95"/>
    <n v="16"/>
    <n v="0.68"/>
    <x v="0"/>
  </r>
  <r>
    <s v="S1055"/>
    <n v="1055"/>
    <x v="7"/>
    <x v="1"/>
    <x v="1"/>
    <n v="3.98"/>
    <x v="0"/>
    <n v="68.5"/>
    <n v="0.78"/>
    <x v="0"/>
    <n v="36"/>
    <n v="24"/>
    <n v="0.64"/>
    <n v="0"/>
    <n v="0.88"/>
    <x v="1"/>
  </r>
  <r>
    <s v="S1056"/>
    <n v="1056"/>
    <x v="2"/>
    <x v="1"/>
    <x v="0"/>
    <n v="2.0499999999999998"/>
    <x v="3"/>
    <n v="69.599999999999994"/>
    <n v="0.8"/>
    <x v="1"/>
    <n v="36"/>
    <n v="60"/>
    <n v="0.96"/>
    <n v="9"/>
    <n v="0.69"/>
    <x v="0"/>
  </r>
  <r>
    <s v="S1057"/>
    <n v="1057"/>
    <x v="4"/>
    <x v="1"/>
    <x v="0"/>
    <n v="2.5099999999999998"/>
    <x v="0"/>
    <n v="71.3"/>
    <n v="0.76"/>
    <x v="0"/>
    <n v="32"/>
    <n v="17"/>
    <n v="0.91"/>
    <n v="15"/>
    <n v="0.74"/>
    <x v="1"/>
  </r>
  <r>
    <s v="S1058"/>
    <n v="1058"/>
    <x v="0"/>
    <x v="1"/>
    <x v="0"/>
    <n v="3.04"/>
    <x v="1"/>
    <n v="76.400000000000006"/>
    <n v="0.87"/>
    <x v="2"/>
    <n v="5"/>
    <n v="78"/>
    <n v="0.99"/>
    <n v="18"/>
    <n v="0.7"/>
    <x v="2"/>
  </r>
  <r>
    <s v="S1059"/>
    <n v="1059"/>
    <x v="6"/>
    <x v="1"/>
    <x v="1"/>
    <n v="3.04"/>
    <x v="0"/>
    <n v="69.400000000000006"/>
    <n v="0.77"/>
    <x v="0"/>
    <n v="25"/>
    <n v="71"/>
    <n v="0.66"/>
    <n v="2"/>
    <n v="0.83"/>
    <x v="1"/>
  </r>
  <r>
    <s v="S1060"/>
    <n v="1060"/>
    <x v="1"/>
    <x v="1"/>
    <x v="0"/>
    <n v="3.18"/>
    <x v="1"/>
    <n v="60.8"/>
    <n v="0.98"/>
    <x v="2"/>
    <n v="38"/>
    <n v="60"/>
    <n v="0.62"/>
    <n v="11"/>
    <n v="0.68"/>
    <x v="2"/>
  </r>
  <r>
    <s v="S1061"/>
    <n v="1061"/>
    <x v="7"/>
    <x v="1"/>
    <x v="1"/>
    <n v="3.5"/>
    <x v="1"/>
    <n v="95.2"/>
    <n v="0.84"/>
    <x v="0"/>
    <n v="36"/>
    <n v="72"/>
    <n v="0.67"/>
    <n v="2"/>
    <n v="0.98"/>
    <x v="1"/>
  </r>
  <r>
    <s v="S1062"/>
    <n v="1062"/>
    <x v="2"/>
    <x v="1"/>
    <x v="0"/>
    <n v="3.25"/>
    <x v="1"/>
    <n v="98.6"/>
    <n v="0.92"/>
    <x v="2"/>
    <n v="13"/>
    <n v="77"/>
    <n v="0.98"/>
    <n v="14"/>
    <n v="0.97"/>
    <x v="2"/>
  </r>
  <r>
    <s v="S1063"/>
    <n v="1063"/>
    <x v="0"/>
    <x v="0"/>
    <x v="0"/>
    <n v="3.2"/>
    <x v="3"/>
    <n v="73.7"/>
    <n v="0.64"/>
    <x v="2"/>
    <n v="36"/>
    <n v="87"/>
    <n v="0.67"/>
    <n v="16"/>
    <n v="0.92"/>
    <x v="0"/>
  </r>
  <r>
    <s v="S1064"/>
    <n v="1064"/>
    <x v="2"/>
    <x v="1"/>
    <x v="3"/>
    <n v="2.11"/>
    <x v="0"/>
    <n v="73.5"/>
    <n v="0.76"/>
    <x v="0"/>
    <n v="7"/>
    <n v="25"/>
    <n v="0.78"/>
    <n v="17"/>
    <n v="0.96"/>
    <x v="0"/>
  </r>
  <r>
    <s v="S1065"/>
    <n v="1065"/>
    <x v="6"/>
    <x v="0"/>
    <x v="2"/>
    <n v="2.75"/>
    <x v="0"/>
    <n v="60.3"/>
    <n v="0.73"/>
    <x v="0"/>
    <n v="38"/>
    <n v="33"/>
    <n v="0.7"/>
    <n v="6"/>
    <n v="0.72"/>
    <x v="0"/>
  </r>
  <r>
    <s v="S1066"/>
    <n v="1066"/>
    <x v="3"/>
    <x v="2"/>
    <x v="1"/>
    <n v="2.46"/>
    <x v="2"/>
    <n v="87.2"/>
    <n v="0.83"/>
    <x v="0"/>
    <n v="12"/>
    <n v="15"/>
    <n v="0.7"/>
    <n v="18"/>
    <n v="0.77"/>
    <x v="0"/>
  </r>
  <r>
    <s v="S1067"/>
    <n v="1067"/>
    <x v="2"/>
    <x v="1"/>
    <x v="3"/>
    <n v="2.5299999999999998"/>
    <x v="2"/>
    <n v="93"/>
    <n v="0.94"/>
    <x v="2"/>
    <n v="12"/>
    <n v="66"/>
    <n v="0.6"/>
    <n v="6"/>
    <n v="0.87"/>
    <x v="1"/>
  </r>
  <r>
    <s v="S1068"/>
    <n v="1068"/>
    <x v="0"/>
    <x v="2"/>
    <x v="0"/>
    <n v="3.11"/>
    <x v="2"/>
    <n v="65.900000000000006"/>
    <n v="0.63"/>
    <x v="1"/>
    <n v="39"/>
    <n v="40"/>
    <n v="0.77"/>
    <n v="4"/>
    <n v="0.85"/>
    <x v="0"/>
  </r>
  <r>
    <s v="S1069"/>
    <n v="1069"/>
    <x v="2"/>
    <x v="2"/>
    <x v="1"/>
    <n v="2.4"/>
    <x v="2"/>
    <n v="66.400000000000006"/>
    <n v="0.63"/>
    <x v="1"/>
    <n v="27"/>
    <n v="15"/>
    <n v="0.92"/>
    <n v="7"/>
    <n v="0.95"/>
    <x v="0"/>
  </r>
  <r>
    <s v="S1070"/>
    <n v="1070"/>
    <x v="2"/>
    <x v="2"/>
    <x v="0"/>
    <n v="2.59"/>
    <x v="0"/>
    <n v="91.6"/>
    <n v="0.94"/>
    <x v="0"/>
    <n v="17"/>
    <n v="88"/>
    <n v="0.52"/>
    <n v="15"/>
    <n v="0.86"/>
    <x v="1"/>
  </r>
  <r>
    <s v="S1071"/>
    <n v="1071"/>
    <x v="2"/>
    <x v="0"/>
    <x v="2"/>
    <n v="2.4700000000000002"/>
    <x v="1"/>
    <n v="84.7"/>
    <n v="0.69"/>
    <x v="1"/>
    <n v="18"/>
    <n v="38"/>
    <n v="0.94"/>
    <n v="15"/>
    <n v="1"/>
    <x v="0"/>
  </r>
  <r>
    <s v="S1072"/>
    <n v="1072"/>
    <x v="5"/>
    <x v="2"/>
    <x v="3"/>
    <n v="3.9"/>
    <x v="1"/>
    <n v="61.8"/>
    <n v="0.87"/>
    <x v="1"/>
    <n v="37"/>
    <n v="76"/>
    <n v="0.83"/>
    <n v="18"/>
    <n v="0.67"/>
    <x v="2"/>
  </r>
  <r>
    <s v="S1073"/>
    <n v="1073"/>
    <x v="5"/>
    <x v="2"/>
    <x v="2"/>
    <n v="3.89"/>
    <x v="3"/>
    <n v="84.9"/>
    <n v="0.82"/>
    <x v="0"/>
    <n v="31"/>
    <n v="84"/>
    <n v="0.81"/>
    <n v="14"/>
    <n v="0.92"/>
    <x v="1"/>
  </r>
  <r>
    <s v="S1074"/>
    <n v="1074"/>
    <x v="3"/>
    <x v="2"/>
    <x v="3"/>
    <n v="3.22"/>
    <x v="1"/>
    <n v="72.400000000000006"/>
    <n v="0.93"/>
    <x v="2"/>
    <n v="21"/>
    <n v="12"/>
    <n v="0.81"/>
    <n v="6"/>
    <n v="0.85"/>
    <x v="2"/>
  </r>
  <r>
    <s v="S1075"/>
    <n v="1075"/>
    <x v="7"/>
    <x v="1"/>
    <x v="0"/>
    <n v="3.85"/>
    <x v="0"/>
    <n v="74.7"/>
    <n v="0.65"/>
    <x v="0"/>
    <n v="1"/>
    <n v="37"/>
    <n v="0.65"/>
    <n v="4"/>
    <n v="0.85"/>
    <x v="0"/>
  </r>
  <r>
    <s v="S1076"/>
    <n v="1076"/>
    <x v="2"/>
    <x v="1"/>
    <x v="2"/>
    <n v="3.57"/>
    <x v="0"/>
    <n v="90.8"/>
    <n v="0.65"/>
    <x v="1"/>
    <n v="12"/>
    <n v="83"/>
    <n v="0.71"/>
    <n v="10"/>
    <n v="0.66"/>
    <x v="0"/>
  </r>
  <r>
    <s v="S1077"/>
    <n v="1077"/>
    <x v="6"/>
    <x v="0"/>
    <x v="2"/>
    <n v="3.18"/>
    <x v="0"/>
    <n v="92.4"/>
    <n v="0.82"/>
    <x v="2"/>
    <n v="22"/>
    <n v="57"/>
    <n v="0.9"/>
    <n v="9"/>
    <n v="0.89"/>
    <x v="1"/>
  </r>
  <r>
    <s v="S1078"/>
    <n v="1078"/>
    <x v="7"/>
    <x v="0"/>
    <x v="0"/>
    <n v="2.0099999999999998"/>
    <x v="3"/>
    <n v="76"/>
    <n v="0.98"/>
    <x v="1"/>
    <n v="24"/>
    <n v="89"/>
    <n v="0.65"/>
    <n v="8"/>
    <n v="0.95"/>
    <x v="0"/>
  </r>
  <r>
    <s v="S1079"/>
    <n v="1079"/>
    <x v="6"/>
    <x v="1"/>
    <x v="2"/>
    <n v="3.55"/>
    <x v="2"/>
    <n v="97.9"/>
    <n v="0.77"/>
    <x v="2"/>
    <n v="27"/>
    <n v="19"/>
    <n v="0.74"/>
    <n v="0"/>
    <n v="0.61"/>
    <x v="1"/>
  </r>
  <r>
    <s v="S1080"/>
    <n v="1080"/>
    <x v="7"/>
    <x v="0"/>
    <x v="1"/>
    <n v="3.4"/>
    <x v="1"/>
    <n v="76.3"/>
    <n v="0.73"/>
    <x v="1"/>
    <n v="10"/>
    <n v="42"/>
    <n v="0.51"/>
    <n v="19"/>
    <n v="0.81"/>
    <x v="0"/>
  </r>
  <r>
    <s v="S1081"/>
    <n v="1081"/>
    <x v="3"/>
    <x v="1"/>
    <x v="3"/>
    <n v="3.23"/>
    <x v="0"/>
    <n v="90.9"/>
    <n v="0.84"/>
    <x v="0"/>
    <n v="32"/>
    <n v="76"/>
    <n v="0.87"/>
    <n v="0"/>
    <n v="0.7"/>
    <x v="1"/>
  </r>
  <r>
    <s v="S1082"/>
    <n v="1082"/>
    <x v="2"/>
    <x v="2"/>
    <x v="3"/>
    <n v="3.52"/>
    <x v="0"/>
    <n v="79.400000000000006"/>
    <n v="0.97"/>
    <x v="1"/>
    <n v="23"/>
    <n v="78"/>
    <n v="0.71"/>
    <n v="7"/>
    <n v="0.99"/>
    <x v="2"/>
  </r>
  <r>
    <s v="S1083"/>
    <n v="1083"/>
    <x v="2"/>
    <x v="2"/>
    <x v="3"/>
    <n v="3.03"/>
    <x v="2"/>
    <n v="95.9"/>
    <n v="0.93"/>
    <x v="1"/>
    <n v="1"/>
    <n v="21"/>
    <n v="0.76"/>
    <n v="2"/>
    <n v="0.74"/>
    <x v="2"/>
  </r>
  <r>
    <s v="S1084"/>
    <n v="1084"/>
    <x v="1"/>
    <x v="0"/>
    <x v="1"/>
    <n v="3.41"/>
    <x v="0"/>
    <n v="96.3"/>
    <n v="1"/>
    <x v="2"/>
    <n v="29"/>
    <n v="66"/>
    <n v="0.56000000000000005"/>
    <n v="1"/>
    <n v="0.61"/>
    <x v="2"/>
  </r>
  <r>
    <s v="S1085"/>
    <n v="1085"/>
    <x v="6"/>
    <x v="1"/>
    <x v="3"/>
    <n v="3.87"/>
    <x v="1"/>
    <n v="63.5"/>
    <n v="0.61"/>
    <x v="1"/>
    <n v="16"/>
    <n v="53"/>
    <n v="1"/>
    <n v="3"/>
    <n v="0.69"/>
    <x v="0"/>
  </r>
  <r>
    <s v="S1086"/>
    <n v="1086"/>
    <x v="7"/>
    <x v="1"/>
    <x v="0"/>
    <n v="2.75"/>
    <x v="3"/>
    <n v="97.5"/>
    <n v="0.65"/>
    <x v="0"/>
    <n v="39"/>
    <n v="22"/>
    <n v="0.65"/>
    <n v="18"/>
    <n v="0.83"/>
    <x v="0"/>
  </r>
  <r>
    <s v="S1087"/>
    <n v="1087"/>
    <x v="7"/>
    <x v="0"/>
    <x v="2"/>
    <n v="3.42"/>
    <x v="0"/>
    <n v="93"/>
    <n v="0.84"/>
    <x v="0"/>
    <n v="33"/>
    <n v="33"/>
    <n v="0.82"/>
    <n v="10"/>
    <n v="0.54"/>
    <x v="1"/>
  </r>
  <r>
    <s v="S1088"/>
    <n v="1088"/>
    <x v="4"/>
    <x v="1"/>
    <x v="1"/>
    <n v="2.95"/>
    <x v="1"/>
    <n v="91.7"/>
    <n v="0.93"/>
    <x v="0"/>
    <n v="37"/>
    <n v="53"/>
    <n v="0.79"/>
    <n v="4"/>
    <n v="0.8"/>
    <x v="1"/>
  </r>
  <r>
    <s v="S1089"/>
    <n v="1089"/>
    <x v="4"/>
    <x v="2"/>
    <x v="3"/>
    <n v="3.35"/>
    <x v="0"/>
    <n v="68"/>
    <n v="0.71"/>
    <x v="2"/>
    <n v="21"/>
    <n v="66"/>
    <n v="0.89"/>
    <n v="9"/>
    <n v="0.97"/>
    <x v="0"/>
  </r>
  <r>
    <s v="S1090"/>
    <n v="1090"/>
    <x v="5"/>
    <x v="0"/>
    <x v="0"/>
    <n v="3.53"/>
    <x v="2"/>
    <n v="92.2"/>
    <n v="0.7"/>
    <x v="2"/>
    <n v="4"/>
    <n v="25"/>
    <n v="0.65"/>
    <n v="7"/>
    <n v="0.93"/>
    <x v="0"/>
  </r>
  <r>
    <s v="S1091"/>
    <n v="1091"/>
    <x v="1"/>
    <x v="0"/>
    <x v="2"/>
    <n v="2.09"/>
    <x v="0"/>
    <n v="94"/>
    <n v="0.91"/>
    <x v="1"/>
    <n v="39"/>
    <n v="30"/>
    <n v="0.88"/>
    <n v="12"/>
    <n v="0.53"/>
    <x v="0"/>
  </r>
  <r>
    <s v="S1092"/>
    <n v="1092"/>
    <x v="0"/>
    <x v="1"/>
    <x v="2"/>
    <n v="3.29"/>
    <x v="0"/>
    <n v="71.599999999999994"/>
    <n v="0.62"/>
    <x v="1"/>
    <n v="15"/>
    <n v="85"/>
    <n v="0.69"/>
    <n v="4"/>
    <n v="1"/>
    <x v="0"/>
  </r>
  <r>
    <s v="S1093"/>
    <n v="1093"/>
    <x v="4"/>
    <x v="0"/>
    <x v="1"/>
    <n v="2.4500000000000002"/>
    <x v="3"/>
    <n v="98.1"/>
    <n v="0.75"/>
    <x v="1"/>
    <n v="12"/>
    <n v="60"/>
    <n v="0.71"/>
    <n v="11"/>
    <n v="0.85"/>
    <x v="0"/>
  </r>
  <r>
    <s v="S1094"/>
    <n v="1094"/>
    <x v="0"/>
    <x v="1"/>
    <x v="1"/>
    <n v="3.34"/>
    <x v="2"/>
    <n v="62"/>
    <n v="0.8"/>
    <x v="2"/>
    <n v="25"/>
    <n v="30"/>
    <n v="0.84"/>
    <n v="12"/>
    <n v="0.57999999999999996"/>
    <x v="1"/>
  </r>
  <r>
    <s v="S1095"/>
    <n v="1095"/>
    <x v="5"/>
    <x v="1"/>
    <x v="1"/>
    <n v="2.94"/>
    <x v="2"/>
    <n v="66"/>
    <n v="0.82"/>
    <x v="2"/>
    <n v="30"/>
    <n v="69"/>
    <n v="0.89"/>
    <n v="7"/>
    <n v="0.51"/>
    <x v="1"/>
  </r>
  <r>
    <s v="S1096"/>
    <n v="1096"/>
    <x v="5"/>
    <x v="1"/>
    <x v="0"/>
    <n v="3.55"/>
    <x v="3"/>
    <n v="81.5"/>
    <n v="0.89"/>
    <x v="1"/>
    <n v="38"/>
    <n v="60"/>
    <n v="0.83"/>
    <n v="14"/>
    <n v="0.59"/>
    <x v="2"/>
  </r>
  <r>
    <s v="S1097"/>
    <n v="1097"/>
    <x v="5"/>
    <x v="1"/>
    <x v="0"/>
    <n v="2.25"/>
    <x v="0"/>
    <n v="83"/>
    <n v="0.74"/>
    <x v="2"/>
    <n v="22"/>
    <n v="30"/>
    <n v="0.95"/>
    <n v="12"/>
    <n v="0.92"/>
    <x v="0"/>
  </r>
  <r>
    <s v="S1098"/>
    <n v="1098"/>
    <x v="6"/>
    <x v="1"/>
    <x v="1"/>
    <n v="3.25"/>
    <x v="1"/>
    <n v="85.8"/>
    <n v="0.85"/>
    <x v="2"/>
    <n v="11"/>
    <n v="15"/>
    <n v="0.64"/>
    <n v="0"/>
    <n v="0.51"/>
    <x v="2"/>
  </r>
  <r>
    <s v="S1099"/>
    <n v="1099"/>
    <x v="6"/>
    <x v="0"/>
    <x v="3"/>
    <n v="2.56"/>
    <x v="2"/>
    <n v="60.7"/>
    <n v="0.83"/>
    <x v="0"/>
    <n v="13"/>
    <n v="82"/>
    <n v="0.95"/>
    <n v="5"/>
    <n v="0.62"/>
    <x v="1"/>
  </r>
  <r>
    <s v="S1100"/>
    <n v="1100"/>
    <x v="3"/>
    <x v="2"/>
    <x v="2"/>
    <n v="3.71"/>
    <x v="2"/>
    <n v="98.4"/>
    <n v="0.82"/>
    <x v="0"/>
    <n v="17"/>
    <n v="74"/>
    <n v="0.56999999999999995"/>
    <n v="10"/>
    <n v="0.88"/>
    <x v="1"/>
  </r>
  <r>
    <s v="S1101"/>
    <n v="1101"/>
    <x v="3"/>
    <x v="2"/>
    <x v="2"/>
    <n v="3.86"/>
    <x v="0"/>
    <n v="61.8"/>
    <n v="0.86"/>
    <x v="1"/>
    <n v="26"/>
    <n v="85"/>
    <n v="0.83"/>
    <n v="12"/>
    <n v="0.79"/>
    <x v="2"/>
  </r>
  <r>
    <s v="S1102"/>
    <n v="1102"/>
    <x v="5"/>
    <x v="0"/>
    <x v="0"/>
    <n v="3.99"/>
    <x v="0"/>
    <n v="65.7"/>
    <n v="0.7"/>
    <x v="1"/>
    <n v="27"/>
    <n v="67"/>
    <n v="0.77"/>
    <n v="19"/>
    <n v="0.89"/>
    <x v="0"/>
  </r>
  <r>
    <s v="S1103"/>
    <n v="1103"/>
    <x v="1"/>
    <x v="0"/>
    <x v="2"/>
    <n v="3.59"/>
    <x v="2"/>
    <n v="60.6"/>
    <n v="0.63"/>
    <x v="0"/>
    <n v="17"/>
    <n v="87"/>
    <n v="0.75"/>
    <n v="0"/>
    <n v="0.87"/>
    <x v="0"/>
  </r>
  <r>
    <s v="S1104"/>
    <n v="1104"/>
    <x v="7"/>
    <x v="2"/>
    <x v="3"/>
    <n v="3.51"/>
    <x v="0"/>
    <n v="82.7"/>
    <n v="0.65"/>
    <x v="2"/>
    <n v="15"/>
    <n v="15"/>
    <n v="0.66"/>
    <n v="10"/>
    <n v="0.53"/>
    <x v="0"/>
  </r>
  <r>
    <s v="S1105"/>
    <n v="1105"/>
    <x v="6"/>
    <x v="2"/>
    <x v="2"/>
    <n v="2.4300000000000002"/>
    <x v="1"/>
    <n v="97.3"/>
    <n v="0.69"/>
    <x v="1"/>
    <n v="15"/>
    <n v="74"/>
    <n v="0.75"/>
    <n v="10"/>
    <n v="0.95"/>
    <x v="0"/>
  </r>
  <r>
    <s v="S1106"/>
    <n v="1106"/>
    <x v="1"/>
    <x v="2"/>
    <x v="0"/>
    <n v="2.67"/>
    <x v="2"/>
    <n v="86.6"/>
    <n v="0.8"/>
    <x v="1"/>
    <n v="12"/>
    <n v="43"/>
    <n v="0.57999999999999996"/>
    <n v="7"/>
    <n v="0.61"/>
    <x v="1"/>
  </r>
  <r>
    <s v="S1107"/>
    <n v="1107"/>
    <x v="2"/>
    <x v="2"/>
    <x v="0"/>
    <n v="2.93"/>
    <x v="1"/>
    <n v="92.9"/>
    <n v="0.94"/>
    <x v="1"/>
    <n v="28"/>
    <n v="65"/>
    <n v="0.68"/>
    <n v="2"/>
    <n v="0.78"/>
    <x v="1"/>
  </r>
  <r>
    <s v="S1108"/>
    <n v="1108"/>
    <x v="6"/>
    <x v="2"/>
    <x v="3"/>
    <n v="3.55"/>
    <x v="1"/>
    <n v="60.5"/>
    <n v="0.88"/>
    <x v="2"/>
    <n v="8"/>
    <n v="84"/>
    <n v="0.55000000000000004"/>
    <n v="18"/>
    <n v="0.82"/>
    <x v="2"/>
  </r>
  <r>
    <s v="S1109"/>
    <n v="1109"/>
    <x v="6"/>
    <x v="1"/>
    <x v="3"/>
    <n v="3.83"/>
    <x v="0"/>
    <n v="81.7"/>
    <n v="0.92"/>
    <x v="0"/>
    <n v="25"/>
    <n v="12"/>
    <n v="0.79"/>
    <n v="11"/>
    <n v="0.57999999999999996"/>
    <x v="2"/>
  </r>
  <r>
    <s v="S1110"/>
    <n v="1110"/>
    <x v="3"/>
    <x v="0"/>
    <x v="2"/>
    <n v="2.38"/>
    <x v="1"/>
    <n v="78.400000000000006"/>
    <n v="0.74"/>
    <x v="1"/>
    <n v="27"/>
    <n v="51"/>
    <n v="0.55000000000000004"/>
    <n v="5"/>
    <n v="0.99"/>
    <x v="0"/>
  </r>
  <r>
    <s v="S1111"/>
    <n v="1111"/>
    <x v="7"/>
    <x v="1"/>
    <x v="2"/>
    <n v="3.84"/>
    <x v="0"/>
    <n v="80"/>
    <n v="0.76"/>
    <x v="0"/>
    <n v="12"/>
    <n v="71"/>
    <n v="0.57999999999999996"/>
    <n v="7"/>
    <n v="0.74"/>
    <x v="1"/>
  </r>
  <r>
    <s v="S1112"/>
    <n v="1112"/>
    <x v="7"/>
    <x v="2"/>
    <x v="0"/>
    <n v="3.39"/>
    <x v="3"/>
    <n v="62.9"/>
    <n v="0.76"/>
    <x v="0"/>
    <n v="35"/>
    <n v="15"/>
    <n v="0.54"/>
    <n v="4"/>
    <n v="0.53"/>
    <x v="1"/>
  </r>
  <r>
    <s v="S1113"/>
    <n v="1113"/>
    <x v="4"/>
    <x v="2"/>
    <x v="3"/>
    <n v="3.22"/>
    <x v="0"/>
    <n v="87.4"/>
    <n v="0.68"/>
    <x v="2"/>
    <n v="8"/>
    <n v="15"/>
    <n v="0.69"/>
    <n v="9"/>
    <n v="0.97"/>
    <x v="0"/>
  </r>
  <r>
    <s v="S1114"/>
    <n v="1114"/>
    <x v="0"/>
    <x v="2"/>
    <x v="3"/>
    <n v="2.4"/>
    <x v="1"/>
    <n v="80.099999999999994"/>
    <n v="0.62"/>
    <x v="2"/>
    <n v="13"/>
    <n v="72"/>
    <n v="0.92"/>
    <n v="15"/>
    <n v="0.79"/>
    <x v="0"/>
  </r>
  <r>
    <s v="S1115"/>
    <n v="1115"/>
    <x v="0"/>
    <x v="1"/>
    <x v="3"/>
    <n v="2.11"/>
    <x v="3"/>
    <n v="90.6"/>
    <n v="0.84"/>
    <x v="2"/>
    <n v="11"/>
    <n v="29"/>
    <n v="0.95"/>
    <n v="11"/>
    <n v="0.85"/>
    <x v="0"/>
  </r>
  <r>
    <s v="S1116"/>
    <n v="1116"/>
    <x v="0"/>
    <x v="1"/>
    <x v="2"/>
    <n v="3.14"/>
    <x v="0"/>
    <n v="79.400000000000006"/>
    <n v="1"/>
    <x v="2"/>
    <n v="31"/>
    <n v="30"/>
    <n v="0.54"/>
    <n v="16"/>
    <n v="0.76"/>
    <x v="2"/>
  </r>
  <r>
    <s v="S1117"/>
    <n v="1117"/>
    <x v="0"/>
    <x v="2"/>
    <x v="3"/>
    <n v="3.3"/>
    <x v="1"/>
    <n v="66"/>
    <n v="0.67"/>
    <x v="2"/>
    <n v="37"/>
    <n v="11"/>
    <n v="0.82"/>
    <n v="5"/>
    <n v="0.92"/>
    <x v="0"/>
  </r>
  <r>
    <s v="S1118"/>
    <n v="1118"/>
    <x v="2"/>
    <x v="1"/>
    <x v="0"/>
    <n v="2.42"/>
    <x v="2"/>
    <n v="85.9"/>
    <n v="0.62"/>
    <x v="2"/>
    <n v="2"/>
    <n v="65"/>
    <n v="0.84"/>
    <n v="8"/>
    <n v="0.52"/>
    <x v="0"/>
  </r>
  <r>
    <s v="S1119"/>
    <n v="1119"/>
    <x v="2"/>
    <x v="1"/>
    <x v="0"/>
    <n v="3.11"/>
    <x v="2"/>
    <n v="66.900000000000006"/>
    <n v="0.91"/>
    <x v="1"/>
    <n v="15"/>
    <n v="19"/>
    <n v="0.77"/>
    <n v="9"/>
    <n v="0.63"/>
    <x v="2"/>
  </r>
  <r>
    <s v="S1120"/>
    <n v="1120"/>
    <x v="6"/>
    <x v="2"/>
    <x v="2"/>
    <n v="3.71"/>
    <x v="0"/>
    <n v="94.9"/>
    <n v="0.7"/>
    <x v="0"/>
    <n v="19"/>
    <n v="79"/>
    <n v="0.83"/>
    <n v="19"/>
    <n v="0.73"/>
    <x v="0"/>
  </r>
  <r>
    <s v="S1121"/>
    <n v="1121"/>
    <x v="5"/>
    <x v="1"/>
    <x v="1"/>
    <n v="3.67"/>
    <x v="0"/>
    <n v="84.5"/>
    <n v="0.93"/>
    <x v="2"/>
    <n v="31"/>
    <n v="32"/>
    <n v="0.62"/>
    <n v="13"/>
    <n v="0.54"/>
    <x v="2"/>
  </r>
  <r>
    <s v="S1122"/>
    <n v="1122"/>
    <x v="3"/>
    <x v="0"/>
    <x v="2"/>
    <n v="3.85"/>
    <x v="2"/>
    <n v="66.3"/>
    <n v="0.88"/>
    <x v="1"/>
    <n v="22"/>
    <n v="39"/>
    <n v="0.74"/>
    <n v="13"/>
    <n v="0.85"/>
    <x v="2"/>
  </r>
  <r>
    <s v="S1123"/>
    <n v="1123"/>
    <x v="3"/>
    <x v="0"/>
    <x v="1"/>
    <n v="2.73"/>
    <x v="1"/>
    <n v="98.5"/>
    <n v="0.98"/>
    <x v="0"/>
    <n v="16"/>
    <n v="87"/>
    <n v="0.7"/>
    <n v="16"/>
    <n v="0.7"/>
    <x v="1"/>
  </r>
  <r>
    <s v="S1124"/>
    <n v="1124"/>
    <x v="0"/>
    <x v="0"/>
    <x v="3"/>
    <n v="2.64"/>
    <x v="1"/>
    <n v="80.7"/>
    <n v="0.76"/>
    <x v="2"/>
    <n v="15"/>
    <n v="46"/>
    <n v="0.54"/>
    <n v="15"/>
    <n v="0.64"/>
    <x v="1"/>
  </r>
  <r>
    <s v="S1125"/>
    <n v="1125"/>
    <x v="6"/>
    <x v="0"/>
    <x v="2"/>
    <n v="3.5"/>
    <x v="1"/>
    <n v="62.9"/>
    <n v="0.86"/>
    <x v="2"/>
    <n v="37"/>
    <n v="64"/>
    <n v="0.81"/>
    <n v="3"/>
    <n v="0.5"/>
    <x v="2"/>
  </r>
  <r>
    <s v="S1126"/>
    <n v="1126"/>
    <x v="4"/>
    <x v="2"/>
    <x v="0"/>
    <n v="2.86"/>
    <x v="0"/>
    <n v="85.1"/>
    <n v="0.79"/>
    <x v="1"/>
    <n v="7"/>
    <n v="58"/>
    <n v="0.75"/>
    <n v="1"/>
    <n v="0.86"/>
    <x v="1"/>
  </r>
  <r>
    <s v="S1127"/>
    <n v="1127"/>
    <x v="1"/>
    <x v="2"/>
    <x v="3"/>
    <n v="2.1800000000000002"/>
    <x v="3"/>
    <n v="70.099999999999994"/>
    <n v="0.85"/>
    <x v="0"/>
    <n v="18"/>
    <n v="43"/>
    <n v="0.64"/>
    <n v="15"/>
    <n v="0.92"/>
    <x v="0"/>
  </r>
  <r>
    <s v="S1128"/>
    <n v="1128"/>
    <x v="5"/>
    <x v="2"/>
    <x v="0"/>
    <n v="2.57"/>
    <x v="3"/>
    <n v="92.1"/>
    <n v="0.78"/>
    <x v="2"/>
    <n v="29"/>
    <n v="53"/>
    <n v="0.74"/>
    <n v="0"/>
    <n v="0.7"/>
    <x v="1"/>
  </r>
  <r>
    <s v="S1129"/>
    <n v="1129"/>
    <x v="6"/>
    <x v="0"/>
    <x v="3"/>
    <n v="2.84"/>
    <x v="3"/>
    <n v="92.7"/>
    <n v="0.68"/>
    <x v="0"/>
    <n v="33"/>
    <n v="31"/>
    <n v="0.89"/>
    <n v="2"/>
    <n v="0.78"/>
    <x v="0"/>
  </r>
  <r>
    <s v="S1130"/>
    <n v="1130"/>
    <x v="5"/>
    <x v="0"/>
    <x v="2"/>
    <n v="2.59"/>
    <x v="3"/>
    <n v="99.2"/>
    <n v="0.8"/>
    <x v="1"/>
    <n v="13"/>
    <n v="40"/>
    <n v="0.9"/>
    <n v="10"/>
    <n v="0.61"/>
    <x v="1"/>
  </r>
  <r>
    <s v="S1131"/>
    <n v="1131"/>
    <x v="5"/>
    <x v="1"/>
    <x v="1"/>
    <n v="2.66"/>
    <x v="3"/>
    <n v="80.099999999999994"/>
    <n v="0.81"/>
    <x v="2"/>
    <n v="21"/>
    <n v="16"/>
    <n v="0.82"/>
    <n v="15"/>
    <n v="0.81"/>
    <x v="1"/>
  </r>
  <r>
    <s v="S1132"/>
    <n v="1132"/>
    <x v="5"/>
    <x v="1"/>
    <x v="3"/>
    <n v="2.59"/>
    <x v="0"/>
    <n v="78.2"/>
    <n v="0.92"/>
    <x v="0"/>
    <n v="16"/>
    <n v="30"/>
    <n v="0.73"/>
    <n v="17"/>
    <n v="0.51"/>
    <x v="1"/>
  </r>
  <r>
    <s v="S1133"/>
    <n v="1133"/>
    <x v="6"/>
    <x v="0"/>
    <x v="1"/>
    <n v="2.08"/>
    <x v="0"/>
    <n v="90.1"/>
    <n v="0.89"/>
    <x v="1"/>
    <n v="14"/>
    <n v="25"/>
    <n v="0.79"/>
    <n v="14"/>
    <n v="0.74"/>
    <x v="0"/>
  </r>
  <r>
    <s v="S1134"/>
    <n v="1134"/>
    <x v="0"/>
    <x v="0"/>
    <x v="3"/>
    <n v="3.27"/>
    <x v="3"/>
    <n v="65.3"/>
    <n v="0.87"/>
    <x v="1"/>
    <n v="31"/>
    <n v="29"/>
    <n v="0.69"/>
    <n v="8"/>
    <n v="0.82"/>
    <x v="2"/>
  </r>
  <r>
    <s v="S1135"/>
    <n v="1135"/>
    <x v="3"/>
    <x v="0"/>
    <x v="0"/>
    <n v="3.19"/>
    <x v="0"/>
    <n v="81.900000000000006"/>
    <n v="0.65"/>
    <x v="2"/>
    <n v="12"/>
    <n v="52"/>
    <n v="0.56000000000000005"/>
    <n v="11"/>
    <n v="0.96"/>
    <x v="0"/>
  </r>
  <r>
    <s v="S1136"/>
    <n v="1136"/>
    <x v="3"/>
    <x v="0"/>
    <x v="0"/>
    <n v="3.31"/>
    <x v="0"/>
    <n v="81.8"/>
    <n v="0.89"/>
    <x v="0"/>
    <n v="20"/>
    <n v="53"/>
    <n v="0.69"/>
    <n v="17"/>
    <n v="0.69"/>
    <x v="2"/>
  </r>
  <r>
    <s v="S1137"/>
    <n v="1137"/>
    <x v="0"/>
    <x v="1"/>
    <x v="3"/>
    <n v="2.38"/>
    <x v="3"/>
    <n v="63.6"/>
    <n v="0.8"/>
    <x v="2"/>
    <n v="39"/>
    <n v="56"/>
    <n v="0.77"/>
    <n v="4"/>
    <n v="0.88"/>
    <x v="0"/>
  </r>
  <r>
    <s v="S1138"/>
    <n v="1138"/>
    <x v="5"/>
    <x v="0"/>
    <x v="1"/>
    <n v="2.59"/>
    <x v="1"/>
    <n v="76.7"/>
    <n v="0.96"/>
    <x v="2"/>
    <n v="32"/>
    <n v="28"/>
    <n v="0.8"/>
    <n v="7"/>
    <n v="0.8"/>
    <x v="1"/>
  </r>
  <r>
    <s v="S1139"/>
    <n v="1139"/>
    <x v="1"/>
    <x v="1"/>
    <x v="2"/>
    <n v="3.24"/>
    <x v="0"/>
    <n v="94.1"/>
    <n v="0.97"/>
    <x v="0"/>
    <n v="26"/>
    <n v="57"/>
    <n v="0.97"/>
    <n v="2"/>
    <n v="0.96"/>
    <x v="2"/>
  </r>
  <r>
    <s v="S1140"/>
    <n v="1140"/>
    <x v="7"/>
    <x v="0"/>
    <x v="2"/>
    <n v="3.2"/>
    <x v="1"/>
    <n v="94.2"/>
    <n v="0.62"/>
    <x v="0"/>
    <n v="34"/>
    <n v="88"/>
    <n v="0.89"/>
    <n v="1"/>
    <n v="0.7"/>
    <x v="0"/>
  </r>
  <r>
    <s v="S1141"/>
    <n v="1141"/>
    <x v="6"/>
    <x v="0"/>
    <x v="0"/>
    <n v="3.01"/>
    <x v="0"/>
    <n v="64"/>
    <n v="0.93"/>
    <x v="0"/>
    <n v="15"/>
    <n v="78"/>
    <n v="0.57999999999999996"/>
    <n v="18"/>
    <n v="0.66"/>
    <x v="2"/>
  </r>
  <r>
    <s v="S1142"/>
    <n v="1142"/>
    <x v="7"/>
    <x v="0"/>
    <x v="2"/>
    <n v="2.7"/>
    <x v="0"/>
    <n v="63.6"/>
    <n v="0.62"/>
    <x v="1"/>
    <n v="27"/>
    <n v="20"/>
    <n v="0.59"/>
    <n v="7"/>
    <n v="0.94"/>
    <x v="0"/>
  </r>
  <r>
    <s v="S1143"/>
    <n v="1143"/>
    <x v="4"/>
    <x v="1"/>
    <x v="0"/>
    <n v="3.83"/>
    <x v="3"/>
    <n v="70.5"/>
    <n v="0.75"/>
    <x v="1"/>
    <n v="33"/>
    <n v="88"/>
    <n v="0.55000000000000004"/>
    <n v="1"/>
    <n v="0.52"/>
    <x v="1"/>
  </r>
  <r>
    <s v="S1144"/>
    <n v="1144"/>
    <x v="0"/>
    <x v="1"/>
    <x v="2"/>
    <n v="2.68"/>
    <x v="0"/>
    <n v="95"/>
    <n v="0.82"/>
    <x v="0"/>
    <n v="0"/>
    <n v="38"/>
    <n v="0.87"/>
    <n v="18"/>
    <n v="0.56999999999999995"/>
    <x v="1"/>
  </r>
  <r>
    <s v="S1145"/>
    <n v="1145"/>
    <x v="1"/>
    <x v="2"/>
    <x v="3"/>
    <n v="2.91"/>
    <x v="2"/>
    <n v="65.2"/>
    <n v="0.66"/>
    <x v="1"/>
    <n v="30"/>
    <n v="54"/>
    <n v="0.85"/>
    <n v="0"/>
    <n v="0.54"/>
    <x v="0"/>
  </r>
  <r>
    <s v="S1146"/>
    <n v="1146"/>
    <x v="6"/>
    <x v="0"/>
    <x v="0"/>
    <n v="3.36"/>
    <x v="2"/>
    <n v="88.8"/>
    <n v="0.9"/>
    <x v="2"/>
    <n v="35"/>
    <n v="77"/>
    <n v="0.99"/>
    <n v="12"/>
    <n v="0.92"/>
    <x v="2"/>
  </r>
  <r>
    <s v="S1147"/>
    <n v="1147"/>
    <x v="0"/>
    <x v="2"/>
    <x v="0"/>
    <n v="3.09"/>
    <x v="3"/>
    <n v="64"/>
    <n v="0.6"/>
    <x v="0"/>
    <n v="32"/>
    <n v="45"/>
    <n v="0.76"/>
    <n v="19"/>
    <n v="0.51"/>
    <x v="0"/>
  </r>
  <r>
    <s v="S1148"/>
    <n v="1148"/>
    <x v="5"/>
    <x v="2"/>
    <x v="3"/>
    <n v="2.69"/>
    <x v="1"/>
    <n v="84.9"/>
    <n v="0.67"/>
    <x v="2"/>
    <n v="32"/>
    <n v="57"/>
    <n v="0.91"/>
    <n v="16"/>
    <n v="0.93"/>
    <x v="0"/>
  </r>
  <r>
    <s v="S1149"/>
    <n v="1149"/>
    <x v="3"/>
    <x v="1"/>
    <x v="0"/>
    <n v="2.87"/>
    <x v="1"/>
    <n v="74.2"/>
    <n v="0.83"/>
    <x v="0"/>
    <n v="38"/>
    <n v="24"/>
    <n v="0.79"/>
    <n v="2"/>
    <n v="0.73"/>
    <x v="1"/>
  </r>
  <r>
    <s v="S1150"/>
    <n v="1150"/>
    <x v="7"/>
    <x v="1"/>
    <x v="2"/>
    <n v="3.59"/>
    <x v="1"/>
    <n v="91.6"/>
    <n v="0.89"/>
    <x v="2"/>
    <n v="17"/>
    <n v="53"/>
    <n v="0.94"/>
    <n v="8"/>
    <n v="0.5"/>
    <x v="2"/>
  </r>
  <r>
    <s v="S1151"/>
    <n v="1151"/>
    <x v="2"/>
    <x v="2"/>
    <x v="2"/>
    <n v="2.56"/>
    <x v="2"/>
    <n v="69.3"/>
    <n v="0.97"/>
    <x v="0"/>
    <n v="22"/>
    <n v="76"/>
    <n v="0.86"/>
    <n v="4"/>
    <n v="0.7"/>
    <x v="1"/>
  </r>
  <r>
    <s v="S1152"/>
    <n v="1152"/>
    <x v="2"/>
    <x v="0"/>
    <x v="0"/>
    <n v="2.2799999999999998"/>
    <x v="1"/>
    <n v="85.6"/>
    <n v="0.88"/>
    <x v="2"/>
    <n v="22"/>
    <n v="83"/>
    <n v="0.82"/>
    <n v="5"/>
    <n v="0.59"/>
    <x v="0"/>
  </r>
  <r>
    <s v="S1153"/>
    <n v="1153"/>
    <x v="1"/>
    <x v="1"/>
    <x v="2"/>
    <n v="2.63"/>
    <x v="1"/>
    <n v="69.400000000000006"/>
    <n v="0.87"/>
    <x v="0"/>
    <n v="14"/>
    <n v="49"/>
    <n v="0.78"/>
    <n v="3"/>
    <n v="0.81"/>
    <x v="1"/>
  </r>
  <r>
    <s v="S1154"/>
    <n v="1154"/>
    <x v="5"/>
    <x v="0"/>
    <x v="1"/>
    <n v="3.7"/>
    <x v="3"/>
    <n v="88.5"/>
    <n v="0.76"/>
    <x v="0"/>
    <n v="25"/>
    <n v="23"/>
    <n v="0.86"/>
    <n v="16"/>
    <n v="0.84"/>
    <x v="1"/>
  </r>
  <r>
    <s v="S1155"/>
    <n v="1155"/>
    <x v="4"/>
    <x v="0"/>
    <x v="0"/>
    <n v="2.1800000000000002"/>
    <x v="1"/>
    <n v="94.9"/>
    <n v="0.6"/>
    <x v="1"/>
    <n v="29"/>
    <n v="72"/>
    <n v="0.71"/>
    <n v="15"/>
    <n v="0.74"/>
    <x v="0"/>
  </r>
  <r>
    <s v="S1156"/>
    <n v="1156"/>
    <x v="7"/>
    <x v="2"/>
    <x v="3"/>
    <n v="3.98"/>
    <x v="2"/>
    <n v="65.099999999999994"/>
    <n v="0.65"/>
    <x v="2"/>
    <n v="24"/>
    <n v="60"/>
    <n v="0.55000000000000004"/>
    <n v="15"/>
    <n v="0.52"/>
    <x v="0"/>
  </r>
  <r>
    <s v="S1157"/>
    <n v="1157"/>
    <x v="5"/>
    <x v="2"/>
    <x v="1"/>
    <n v="3.08"/>
    <x v="2"/>
    <n v="94.7"/>
    <n v="0.81"/>
    <x v="1"/>
    <n v="15"/>
    <n v="88"/>
    <n v="0.52"/>
    <n v="10"/>
    <n v="0.83"/>
    <x v="1"/>
  </r>
  <r>
    <s v="S1158"/>
    <n v="1158"/>
    <x v="7"/>
    <x v="2"/>
    <x v="0"/>
    <n v="3.97"/>
    <x v="2"/>
    <n v="83.7"/>
    <n v="0.87"/>
    <x v="2"/>
    <n v="38"/>
    <n v="67"/>
    <n v="0.74"/>
    <n v="1"/>
    <n v="0.92"/>
    <x v="2"/>
  </r>
  <r>
    <s v="S1159"/>
    <n v="1159"/>
    <x v="1"/>
    <x v="2"/>
    <x v="3"/>
    <n v="3.88"/>
    <x v="3"/>
    <n v="65.099999999999994"/>
    <n v="0.77"/>
    <x v="1"/>
    <n v="13"/>
    <n v="24"/>
    <n v="0.8"/>
    <n v="16"/>
    <n v="0.86"/>
    <x v="1"/>
  </r>
  <r>
    <s v="S1160"/>
    <n v="1160"/>
    <x v="1"/>
    <x v="1"/>
    <x v="2"/>
    <n v="2.91"/>
    <x v="3"/>
    <n v="77.099999999999994"/>
    <n v="0.89"/>
    <x v="0"/>
    <n v="16"/>
    <n v="74"/>
    <n v="0.54"/>
    <n v="14"/>
    <n v="0.91"/>
    <x v="1"/>
  </r>
  <r>
    <s v="S1161"/>
    <n v="1161"/>
    <x v="4"/>
    <x v="1"/>
    <x v="3"/>
    <n v="2.4"/>
    <x v="0"/>
    <n v="66.400000000000006"/>
    <n v="0.81"/>
    <x v="1"/>
    <n v="11"/>
    <n v="64"/>
    <n v="0.64"/>
    <n v="17"/>
    <n v="0.6"/>
    <x v="0"/>
  </r>
  <r>
    <s v="S1162"/>
    <n v="1162"/>
    <x v="2"/>
    <x v="2"/>
    <x v="1"/>
    <n v="2.33"/>
    <x v="1"/>
    <n v="88"/>
    <n v="0.63"/>
    <x v="1"/>
    <n v="28"/>
    <n v="85"/>
    <n v="0.66"/>
    <n v="9"/>
    <n v="0.94"/>
    <x v="0"/>
  </r>
  <r>
    <s v="S1163"/>
    <n v="1163"/>
    <x v="5"/>
    <x v="1"/>
    <x v="2"/>
    <n v="2.48"/>
    <x v="3"/>
    <n v="90.4"/>
    <n v="0.68"/>
    <x v="0"/>
    <n v="31"/>
    <n v="19"/>
    <n v="0.78"/>
    <n v="5"/>
    <n v="0.66"/>
    <x v="0"/>
  </r>
  <r>
    <s v="S1164"/>
    <n v="1164"/>
    <x v="6"/>
    <x v="2"/>
    <x v="0"/>
    <n v="3.42"/>
    <x v="2"/>
    <n v="64.2"/>
    <n v="0.94"/>
    <x v="1"/>
    <n v="23"/>
    <n v="51"/>
    <n v="0.64"/>
    <n v="15"/>
    <n v="0.51"/>
    <x v="2"/>
  </r>
  <r>
    <s v="S1165"/>
    <n v="1165"/>
    <x v="2"/>
    <x v="0"/>
    <x v="2"/>
    <n v="2.5499999999999998"/>
    <x v="2"/>
    <n v="80.2"/>
    <n v="0.89"/>
    <x v="0"/>
    <n v="12"/>
    <n v="20"/>
    <n v="0.55000000000000004"/>
    <n v="4"/>
    <n v="0.92"/>
    <x v="1"/>
  </r>
  <r>
    <s v="S1166"/>
    <n v="1166"/>
    <x v="5"/>
    <x v="0"/>
    <x v="0"/>
    <n v="2.68"/>
    <x v="3"/>
    <n v="92.6"/>
    <n v="0.96"/>
    <x v="2"/>
    <n v="19"/>
    <n v="25"/>
    <n v="0.57999999999999996"/>
    <n v="11"/>
    <n v="0.97"/>
    <x v="1"/>
  </r>
  <r>
    <s v="S1167"/>
    <n v="1167"/>
    <x v="2"/>
    <x v="0"/>
    <x v="0"/>
    <n v="2.9"/>
    <x v="3"/>
    <n v="97.4"/>
    <n v="0.65"/>
    <x v="1"/>
    <n v="14"/>
    <n v="82"/>
    <n v="0.59"/>
    <n v="5"/>
    <n v="0.83"/>
    <x v="0"/>
  </r>
  <r>
    <s v="S1168"/>
    <n v="1168"/>
    <x v="6"/>
    <x v="2"/>
    <x v="3"/>
    <n v="3.83"/>
    <x v="3"/>
    <n v="80.5"/>
    <n v="1"/>
    <x v="0"/>
    <n v="3"/>
    <n v="87"/>
    <n v="0.92"/>
    <n v="13"/>
    <n v="0.62"/>
    <x v="2"/>
  </r>
  <r>
    <s v="S1169"/>
    <n v="1169"/>
    <x v="3"/>
    <x v="0"/>
    <x v="3"/>
    <n v="2.38"/>
    <x v="0"/>
    <n v="98"/>
    <n v="0.68"/>
    <x v="0"/>
    <n v="33"/>
    <n v="28"/>
    <n v="0.64"/>
    <n v="15"/>
    <n v="0.63"/>
    <x v="0"/>
  </r>
  <r>
    <s v="S1170"/>
    <n v="1170"/>
    <x v="3"/>
    <x v="1"/>
    <x v="3"/>
    <n v="2.0099999999999998"/>
    <x v="2"/>
    <n v="81.400000000000006"/>
    <n v="0.6"/>
    <x v="1"/>
    <n v="27"/>
    <n v="40"/>
    <n v="0.86"/>
    <n v="6"/>
    <n v="0.73"/>
    <x v="0"/>
  </r>
  <r>
    <s v="S1171"/>
    <n v="1171"/>
    <x v="4"/>
    <x v="0"/>
    <x v="1"/>
    <n v="2.12"/>
    <x v="0"/>
    <n v="75.8"/>
    <n v="1"/>
    <x v="2"/>
    <n v="1"/>
    <n v="82"/>
    <n v="0.78"/>
    <n v="1"/>
    <n v="0.95"/>
    <x v="0"/>
  </r>
  <r>
    <s v="S1172"/>
    <n v="1172"/>
    <x v="3"/>
    <x v="0"/>
    <x v="1"/>
    <n v="3.81"/>
    <x v="0"/>
    <n v="93.9"/>
    <n v="0.71"/>
    <x v="1"/>
    <n v="29"/>
    <n v="62"/>
    <n v="0.99"/>
    <n v="5"/>
    <n v="0.56999999999999995"/>
    <x v="0"/>
  </r>
  <r>
    <s v="S1173"/>
    <n v="1173"/>
    <x v="3"/>
    <x v="0"/>
    <x v="3"/>
    <n v="3.3"/>
    <x v="1"/>
    <n v="79.7"/>
    <n v="0.87"/>
    <x v="0"/>
    <n v="25"/>
    <n v="17"/>
    <n v="0.64"/>
    <n v="8"/>
    <n v="0.91"/>
    <x v="2"/>
  </r>
  <r>
    <s v="S1174"/>
    <n v="1174"/>
    <x v="0"/>
    <x v="1"/>
    <x v="1"/>
    <n v="2.5499999999999998"/>
    <x v="2"/>
    <n v="78.900000000000006"/>
    <n v="0.67"/>
    <x v="2"/>
    <n v="25"/>
    <n v="33"/>
    <n v="0.57999999999999996"/>
    <n v="6"/>
    <n v="0.65"/>
    <x v="0"/>
  </r>
  <r>
    <s v="S1175"/>
    <n v="1175"/>
    <x v="7"/>
    <x v="2"/>
    <x v="2"/>
    <n v="2.35"/>
    <x v="2"/>
    <n v="79.599999999999994"/>
    <n v="0.83"/>
    <x v="1"/>
    <n v="19"/>
    <n v="17"/>
    <n v="0.53"/>
    <n v="1"/>
    <n v="0.9"/>
    <x v="0"/>
  </r>
  <r>
    <s v="S1176"/>
    <n v="1176"/>
    <x v="0"/>
    <x v="1"/>
    <x v="2"/>
    <n v="2.59"/>
    <x v="3"/>
    <n v="93.9"/>
    <n v="0.96"/>
    <x v="0"/>
    <n v="27"/>
    <n v="57"/>
    <n v="0.62"/>
    <n v="18"/>
    <n v="0.96"/>
    <x v="1"/>
  </r>
  <r>
    <s v="S1177"/>
    <n v="1177"/>
    <x v="0"/>
    <x v="2"/>
    <x v="1"/>
    <n v="2.23"/>
    <x v="3"/>
    <n v="93.3"/>
    <n v="0.73"/>
    <x v="1"/>
    <n v="19"/>
    <n v="39"/>
    <n v="0.84"/>
    <n v="7"/>
    <n v="0.71"/>
    <x v="0"/>
  </r>
  <r>
    <s v="S1178"/>
    <n v="1178"/>
    <x v="4"/>
    <x v="2"/>
    <x v="1"/>
    <n v="3.88"/>
    <x v="1"/>
    <n v="76.099999999999994"/>
    <n v="0.87"/>
    <x v="2"/>
    <n v="10"/>
    <n v="67"/>
    <n v="0.54"/>
    <n v="10"/>
    <n v="0.68"/>
    <x v="2"/>
  </r>
  <r>
    <s v="S1179"/>
    <n v="1179"/>
    <x v="0"/>
    <x v="0"/>
    <x v="2"/>
    <n v="3.57"/>
    <x v="0"/>
    <n v="73.3"/>
    <n v="0.68"/>
    <x v="2"/>
    <n v="9"/>
    <n v="64"/>
    <n v="0.62"/>
    <n v="3"/>
    <n v="0.9"/>
    <x v="0"/>
  </r>
  <r>
    <s v="S1180"/>
    <n v="1180"/>
    <x v="3"/>
    <x v="2"/>
    <x v="0"/>
    <n v="2.92"/>
    <x v="3"/>
    <n v="79.7"/>
    <n v="0.85"/>
    <x v="2"/>
    <n v="22"/>
    <n v="82"/>
    <n v="0.93"/>
    <n v="15"/>
    <n v="0.76"/>
    <x v="1"/>
  </r>
  <r>
    <s v="S1181"/>
    <n v="1181"/>
    <x v="6"/>
    <x v="1"/>
    <x v="2"/>
    <n v="3.73"/>
    <x v="3"/>
    <n v="82.9"/>
    <n v="0.73"/>
    <x v="2"/>
    <n v="36"/>
    <n v="71"/>
    <n v="0.79"/>
    <n v="17"/>
    <n v="0.84"/>
    <x v="0"/>
  </r>
  <r>
    <s v="S1182"/>
    <n v="1182"/>
    <x v="4"/>
    <x v="1"/>
    <x v="2"/>
    <n v="2.5"/>
    <x v="2"/>
    <n v="69.5"/>
    <n v="0.68"/>
    <x v="2"/>
    <n v="18"/>
    <n v="57"/>
    <n v="0.53"/>
    <n v="12"/>
    <n v="0.81"/>
    <x v="0"/>
  </r>
  <r>
    <s v="S1183"/>
    <n v="1183"/>
    <x v="4"/>
    <x v="2"/>
    <x v="1"/>
    <n v="3.43"/>
    <x v="2"/>
    <n v="91.8"/>
    <n v="0.73"/>
    <x v="1"/>
    <n v="17"/>
    <n v="13"/>
    <n v="0.52"/>
    <n v="4"/>
    <n v="0.57999999999999996"/>
    <x v="0"/>
  </r>
  <r>
    <s v="S1184"/>
    <n v="1184"/>
    <x v="1"/>
    <x v="0"/>
    <x v="2"/>
    <n v="3.71"/>
    <x v="3"/>
    <n v="79.5"/>
    <n v="0.67"/>
    <x v="2"/>
    <n v="26"/>
    <n v="46"/>
    <n v="0.53"/>
    <n v="1"/>
    <n v="0.92"/>
    <x v="0"/>
  </r>
  <r>
    <s v="S1185"/>
    <n v="1185"/>
    <x v="4"/>
    <x v="0"/>
    <x v="1"/>
    <n v="2.71"/>
    <x v="2"/>
    <n v="73.400000000000006"/>
    <n v="0.96"/>
    <x v="2"/>
    <n v="5"/>
    <n v="17"/>
    <n v="0.97"/>
    <n v="10"/>
    <n v="0.6"/>
    <x v="1"/>
  </r>
  <r>
    <s v="S1186"/>
    <n v="1186"/>
    <x v="1"/>
    <x v="1"/>
    <x v="1"/>
    <n v="3.51"/>
    <x v="1"/>
    <n v="64.3"/>
    <n v="0.76"/>
    <x v="0"/>
    <n v="9"/>
    <n v="10"/>
    <n v="0.92"/>
    <n v="0"/>
    <n v="0.97"/>
    <x v="1"/>
  </r>
  <r>
    <s v="S1187"/>
    <n v="1187"/>
    <x v="4"/>
    <x v="0"/>
    <x v="3"/>
    <n v="2.59"/>
    <x v="3"/>
    <n v="69.599999999999994"/>
    <n v="0.7"/>
    <x v="2"/>
    <n v="1"/>
    <n v="79"/>
    <n v="0.92"/>
    <n v="12"/>
    <n v="0.63"/>
    <x v="0"/>
  </r>
  <r>
    <s v="S1188"/>
    <n v="1188"/>
    <x v="7"/>
    <x v="2"/>
    <x v="2"/>
    <n v="2.6"/>
    <x v="2"/>
    <n v="98"/>
    <n v="0.78"/>
    <x v="0"/>
    <n v="23"/>
    <n v="56"/>
    <n v="0.96"/>
    <n v="4"/>
    <n v="0.87"/>
    <x v="1"/>
  </r>
  <r>
    <s v="S1189"/>
    <n v="1189"/>
    <x v="3"/>
    <x v="2"/>
    <x v="0"/>
    <n v="2.21"/>
    <x v="1"/>
    <n v="72.2"/>
    <n v="0.73"/>
    <x v="0"/>
    <n v="37"/>
    <n v="84"/>
    <n v="0.75"/>
    <n v="17"/>
    <n v="0.64"/>
    <x v="0"/>
  </r>
  <r>
    <s v="S1190"/>
    <n v="1190"/>
    <x v="4"/>
    <x v="1"/>
    <x v="3"/>
    <n v="2.88"/>
    <x v="2"/>
    <n v="66.8"/>
    <n v="0.9"/>
    <x v="0"/>
    <n v="27"/>
    <n v="14"/>
    <n v="0.62"/>
    <n v="13"/>
    <n v="0.66"/>
    <x v="1"/>
  </r>
  <r>
    <s v="S1191"/>
    <n v="1191"/>
    <x v="3"/>
    <x v="2"/>
    <x v="1"/>
    <n v="3.46"/>
    <x v="2"/>
    <n v="78.400000000000006"/>
    <n v="0.99"/>
    <x v="1"/>
    <n v="27"/>
    <n v="59"/>
    <n v="0.7"/>
    <n v="12"/>
    <n v="0.66"/>
    <x v="2"/>
  </r>
  <r>
    <s v="S1192"/>
    <n v="1192"/>
    <x v="3"/>
    <x v="1"/>
    <x v="1"/>
    <n v="3.88"/>
    <x v="2"/>
    <n v="72.3"/>
    <n v="0.78"/>
    <x v="1"/>
    <n v="38"/>
    <n v="33"/>
    <n v="0.86"/>
    <n v="6"/>
    <n v="0.87"/>
    <x v="1"/>
  </r>
  <r>
    <s v="S1193"/>
    <n v="1193"/>
    <x v="2"/>
    <x v="2"/>
    <x v="0"/>
    <n v="3.21"/>
    <x v="3"/>
    <n v="61.4"/>
    <n v="0.94"/>
    <x v="0"/>
    <n v="1"/>
    <n v="56"/>
    <n v="0.94"/>
    <n v="7"/>
    <n v="0.78"/>
    <x v="2"/>
  </r>
  <r>
    <s v="S1194"/>
    <n v="1194"/>
    <x v="4"/>
    <x v="1"/>
    <x v="1"/>
    <n v="3.73"/>
    <x v="0"/>
    <n v="72.900000000000006"/>
    <n v="0.83"/>
    <x v="1"/>
    <n v="4"/>
    <n v="27"/>
    <n v="0.72"/>
    <n v="17"/>
    <n v="0.94"/>
    <x v="1"/>
  </r>
  <r>
    <s v="S1195"/>
    <n v="1195"/>
    <x v="5"/>
    <x v="0"/>
    <x v="2"/>
    <n v="3.64"/>
    <x v="2"/>
    <n v="81.8"/>
    <n v="0.66"/>
    <x v="2"/>
    <n v="10"/>
    <n v="37"/>
    <n v="0.77"/>
    <n v="6"/>
    <n v="0.65"/>
    <x v="0"/>
  </r>
  <r>
    <s v="S1196"/>
    <n v="1196"/>
    <x v="2"/>
    <x v="2"/>
    <x v="3"/>
    <n v="2.35"/>
    <x v="1"/>
    <n v="82.1"/>
    <n v="0.88"/>
    <x v="1"/>
    <n v="9"/>
    <n v="86"/>
    <n v="0.97"/>
    <n v="19"/>
    <n v="0.85"/>
    <x v="0"/>
  </r>
  <r>
    <s v="S1197"/>
    <n v="1197"/>
    <x v="5"/>
    <x v="2"/>
    <x v="1"/>
    <n v="2.97"/>
    <x v="3"/>
    <n v="74.3"/>
    <n v="0.81"/>
    <x v="2"/>
    <n v="1"/>
    <n v="14"/>
    <n v="0.55000000000000004"/>
    <n v="16"/>
    <n v="0.88"/>
    <x v="1"/>
  </r>
  <r>
    <s v="S1198"/>
    <n v="1198"/>
    <x v="3"/>
    <x v="1"/>
    <x v="1"/>
    <n v="2.23"/>
    <x v="3"/>
    <n v="77.900000000000006"/>
    <n v="0.86"/>
    <x v="2"/>
    <n v="14"/>
    <n v="39"/>
    <n v="0.93"/>
    <n v="15"/>
    <n v="0.57999999999999996"/>
    <x v="0"/>
  </r>
  <r>
    <s v="S1199"/>
    <n v="1199"/>
    <x v="3"/>
    <x v="1"/>
    <x v="0"/>
    <n v="3.36"/>
    <x v="1"/>
    <n v="98.6"/>
    <n v="0.96"/>
    <x v="1"/>
    <n v="38"/>
    <n v="10"/>
    <n v="0.57999999999999996"/>
    <n v="10"/>
    <n v="0.7"/>
    <x v="2"/>
  </r>
  <r>
    <s v="S1200"/>
    <n v="1200"/>
    <x v="2"/>
    <x v="2"/>
    <x v="2"/>
    <n v="3.9"/>
    <x v="2"/>
    <n v="75.099999999999994"/>
    <n v="0.78"/>
    <x v="1"/>
    <n v="36"/>
    <n v="55"/>
    <n v="0.74"/>
    <n v="18"/>
    <n v="0.74"/>
    <x v="1"/>
  </r>
  <r>
    <s v="S1201"/>
    <n v="1201"/>
    <x v="2"/>
    <x v="1"/>
    <x v="1"/>
    <n v="2.27"/>
    <x v="0"/>
    <n v="70.3"/>
    <n v="0.96"/>
    <x v="0"/>
    <n v="6"/>
    <n v="78"/>
    <n v="0.61"/>
    <n v="0"/>
    <n v="0.68"/>
    <x v="0"/>
  </r>
  <r>
    <s v="S1202"/>
    <n v="1202"/>
    <x v="5"/>
    <x v="2"/>
    <x v="0"/>
    <n v="3.47"/>
    <x v="2"/>
    <n v="69.7"/>
    <n v="0.9"/>
    <x v="1"/>
    <n v="19"/>
    <n v="40"/>
    <n v="0.8"/>
    <n v="7"/>
    <n v="0.66"/>
    <x v="2"/>
  </r>
  <r>
    <s v="S1203"/>
    <n v="1203"/>
    <x v="1"/>
    <x v="0"/>
    <x v="1"/>
    <n v="3.26"/>
    <x v="1"/>
    <n v="78.3"/>
    <n v="0.8"/>
    <x v="1"/>
    <n v="33"/>
    <n v="79"/>
    <n v="0.78"/>
    <n v="0"/>
    <n v="0.84"/>
    <x v="1"/>
  </r>
  <r>
    <s v="S1204"/>
    <n v="1204"/>
    <x v="5"/>
    <x v="1"/>
    <x v="0"/>
    <n v="3.17"/>
    <x v="3"/>
    <n v="90.4"/>
    <n v="0.84"/>
    <x v="1"/>
    <n v="34"/>
    <n v="65"/>
    <n v="0.69"/>
    <n v="8"/>
    <n v="0.61"/>
    <x v="1"/>
  </r>
  <r>
    <s v="S1205"/>
    <n v="1205"/>
    <x v="2"/>
    <x v="2"/>
    <x v="0"/>
    <n v="2.78"/>
    <x v="0"/>
    <n v="68.2"/>
    <n v="0.73"/>
    <x v="2"/>
    <n v="33"/>
    <n v="37"/>
    <n v="0.93"/>
    <n v="18"/>
    <n v="0.85"/>
    <x v="0"/>
  </r>
  <r>
    <s v="S1206"/>
    <n v="1206"/>
    <x v="6"/>
    <x v="0"/>
    <x v="2"/>
    <n v="2.71"/>
    <x v="3"/>
    <n v="88.4"/>
    <n v="0.99"/>
    <x v="2"/>
    <n v="21"/>
    <n v="25"/>
    <n v="0.83"/>
    <n v="8"/>
    <n v="0.97"/>
    <x v="1"/>
  </r>
  <r>
    <s v="S1207"/>
    <n v="1207"/>
    <x v="2"/>
    <x v="0"/>
    <x v="1"/>
    <n v="2.09"/>
    <x v="1"/>
    <n v="60.8"/>
    <n v="0.87"/>
    <x v="2"/>
    <n v="30"/>
    <n v="63"/>
    <n v="0.86"/>
    <n v="9"/>
    <n v="0.78"/>
    <x v="0"/>
  </r>
  <r>
    <s v="S1208"/>
    <n v="1208"/>
    <x v="6"/>
    <x v="2"/>
    <x v="2"/>
    <n v="2.44"/>
    <x v="2"/>
    <n v="76.8"/>
    <n v="0.62"/>
    <x v="0"/>
    <n v="22"/>
    <n v="62"/>
    <n v="0.57999999999999996"/>
    <n v="10"/>
    <n v="0.81"/>
    <x v="0"/>
  </r>
  <r>
    <s v="S1209"/>
    <n v="1209"/>
    <x v="7"/>
    <x v="1"/>
    <x v="0"/>
    <n v="2.0299999999999998"/>
    <x v="0"/>
    <n v="91"/>
    <n v="0.73"/>
    <x v="0"/>
    <n v="18"/>
    <n v="21"/>
    <n v="0.94"/>
    <n v="0"/>
    <n v="0.53"/>
    <x v="0"/>
  </r>
  <r>
    <s v="S1210"/>
    <n v="1210"/>
    <x v="2"/>
    <x v="2"/>
    <x v="3"/>
    <n v="3.16"/>
    <x v="3"/>
    <n v="73.5"/>
    <n v="0.85"/>
    <x v="0"/>
    <n v="3"/>
    <n v="29"/>
    <n v="0.57999999999999996"/>
    <n v="19"/>
    <n v="0.93"/>
    <x v="2"/>
  </r>
  <r>
    <s v="S1211"/>
    <n v="1211"/>
    <x v="7"/>
    <x v="0"/>
    <x v="1"/>
    <n v="2.21"/>
    <x v="3"/>
    <n v="82.5"/>
    <n v="0.62"/>
    <x v="2"/>
    <n v="23"/>
    <n v="43"/>
    <n v="0.61"/>
    <n v="7"/>
    <n v="0.64"/>
    <x v="0"/>
  </r>
  <r>
    <s v="S1212"/>
    <n v="1212"/>
    <x v="1"/>
    <x v="2"/>
    <x v="3"/>
    <n v="3.75"/>
    <x v="3"/>
    <n v="68.2"/>
    <n v="0.61"/>
    <x v="1"/>
    <n v="19"/>
    <n v="62"/>
    <n v="0.56000000000000005"/>
    <n v="19"/>
    <n v="0.81"/>
    <x v="0"/>
  </r>
  <r>
    <s v="S1213"/>
    <n v="1213"/>
    <x v="5"/>
    <x v="1"/>
    <x v="1"/>
    <n v="3.05"/>
    <x v="2"/>
    <n v="89.7"/>
    <n v="0.78"/>
    <x v="0"/>
    <n v="38"/>
    <n v="73"/>
    <n v="0.72"/>
    <n v="11"/>
    <n v="0.99"/>
    <x v="1"/>
  </r>
  <r>
    <s v="S1214"/>
    <n v="1214"/>
    <x v="6"/>
    <x v="0"/>
    <x v="2"/>
    <n v="3.4"/>
    <x v="0"/>
    <n v="62.1"/>
    <n v="0.73"/>
    <x v="0"/>
    <n v="27"/>
    <n v="32"/>
    <n v="0.94"/>
    <n v="0"/>
    <n v="0.8"/>
    <x v="0"/>
  </r>
  <r>
    <s v="S1215"/>
    <n v="1215"/>
    <x v="5"/>
    <x v="2"/>
    <x v="2"/>
    <n v="2.82"/>
    <x v="2"/>
    <n v="94.1"/>
    <n v="0.78"/>
    <x v="2"/>
    <n v="38"/>
    <n v="36"/>
    <n v="0.63"/>
    <n v="9"/>
    <n v="0.86"/>
    <x v="1"/>
  </r>
  <r>
    <s v="S1216"/>
    <n v="1216"/>
    <x v="7"/>
    <x v="1"/>
    <x v="2"/>
    <n v="3.12"/>
    <x v="2"/>
    <n v="67.900000000000006"/>
    <n v="0.71"/>
    <x v="0"/>
    <n v="16"/>
    <n v="26"/>
    <n v="0.69"/>
    <n v="3"/>
    <n v="0.72"/>
    <x v="0"/>
  </r>
  <r>
    <s v="S1217"/>
    <n v="1217"/>
    <x v="6"/>
    <x v="0"/>
    <x v="2"/>
    <n v="3.89"/>
    <x v="2"/>
    <n v="95"/>
    <n v="0.67"/>
    <x v="1"/>
    <n v="18"/>
    <n v="57"/>
    <n v="0.92"/>
    <n v="14"/>
    <n v="0.53"/>
    <x v="0"/>
  </r>
  <r>
    <s v="S1218"/>
    <n v="1218"/>
    <x v="5"/>
    <x v="1"/>
    <x v="2"/>
    <n v="2.17"/>
    <x v="1"/>
    <n v="74.099999999999994"/>
    <n v="0.88"/>
    <x v="2"/>
    <n v="34"/>
    <n v="30"/>
    <n v="0.81"/>
    <n v="18"/>
    <n v="0.9"/>
    <x v="0"/>
  </r>
  <r>
    <s v="S1219"/>
    <n v="1219"/>
    <x v="2"/>
    <x v="0"/>
    <x v="3"/>
    <n v="2.5099999999999998"/>
    <x v="1"/>
    <n v="88.9"/>
    <n v="0.81"/>
    <x v="2"/>
    <n v="31"/>
    <n v="59"/>
    <n v="0.88"/>
    <n v="5"/>
    <n v="0.52"/>
    <x v="1"/>
  </r>
  <r>
    <s v="S1220"/>
    <n v="1220"/>
    <x v="3"/>
    <x v="2"/>
    <x v="2"/>
    <n v="3.56"/>
    <x v="1"/>
    <n v="72.8"/>
    <n v="0.68"/>
    <x v="1"/>
    <n v="38"/>
    <n v="49"/>
    <n v="0.61"/>
    <n v="4"/>
    <n v="0.85"/>
    <x v="0"/>
  </r>
  <r>
    <s v="S1221"/>
    <n v="1221"/>
    <x v="7"/>
    <x v="1"/>
    <x v="0"/>
    <n v="2.2000000000000002"/>
    <x v="0"/>
    <n v="96.2"/>
    <n v="0.73"/>
    <x v="1"/>
    <n v="34"/>
    <n v="12"/>
    <n v="0.86"/>
    <n v="4"/>
    <n v="0.51"/>
    <x v="0"/>
  </r>
  <r>
    <s v="S1222"/>
    <n v="1222"/>
    <x v="5"/>
    <x v="0"/>
    <x v="0"/>
    <n v="2.15"/>
    <x v="2"/>
    <n v="65.099999999999994"/>
    <n v="0.84"/>
    <x v="1"/>
    <n v="29"/>
    <n v="26"/>
    <n v="0.61"/>
    <n v="17"/>
    <n v="0.93"/>
    <x v="0"/>
  </r>
  <r>
    <s v="S1223"/>
    <n v="1223"/>
    <x v="7"/>
    <x v="1"/>
    <x v="3"/>
    <n v="2.72"/>
    <x v="2"/>
    <n v="67.099999999999994"/>
    <n v="0.63"/>
    <x v="0"/>
    <n v="16"/>
    <n v="70"/>
    <n v="0.99"/>
    <n v="2"/>
    <n v="0.57999999999999996"/>
    <x v="0"/>
  </r>
  <r>
    <s v="S1224"/>
    <n v="1224"/>
    <x v="0"/>
    <x v="1"/>
    <x v="1"/>
    <n v="2.1800000000000002"/>
    <x v="1"/>
    <n v="79.7"/>
    <n v="0.66"/>
    <x v="1"/>
    <n v="28"/>
    <n v="59"/>
    <n v="0.78"/>
    <n v="1"/>
    <n v="0.76"/>
    <x v="0"/>
  </r>
  <r>
    <s v="S1225"/>
    <n v="1225"/>
    <x v="7"/>
    <x v="2"/>
    <x v="0"/>
    <n v="3.17"/>
    <x v="2"/>
    <n v="63.3"/>
    <n v="0.63"/>
    <x v="2"/>
    <n v="5"/>
    <n v="15"/>
    <n v="0.85"/>
    <n v="3"/>
    <n v="0.8"/>
    <x v="0"/>
  </r>
  <r>
    <s v="S1226"/>
    <n v="1226"/>
    <x v="6"/>
    <x v="1"/>
    <x v="1"/>
    <n v="2.4500000000000002"/>
    <x v="2"/>
    <n v="67.8"/>
    <n v="0.92"/>
    <x v="1"/>
    <n v="16"/>
    <n v="37"/>
    <n v="0.56000000000000005"/>
    <n v="17"/>
    <n v="0.73"/>
    <x v="0"/>
  </r>
  <r>
    <s v="S1227"/>
    <n v="1227"/>
    <x v="0"/>
    <x v="0"/>
    <x v="3"/>
    <n v="3.79"/>
    <x v="3"/>
    <n v="97.8"/>
    <n v="0.9"/>
    <x v="2"/>
    <n v="16"/>
    <n v="81"/>
    <n v="0.63"/>
    <n v="8"/>
    <n v="0.67"/>
    <x v="2"/>
  </r>
  <r>
    <s v="S1228"/>
    <n v="1228"/>
    <x v="4"/>
    <x v="0"/>
    <x v="1"/>
    <n v="3.57"/>
    <x v="2"/>
    <n v="99.1"/>
    <n v="0.9"/>
    <x v="2"/>
    <n v="13"/>
    <n v="64"/>
    <n v="0.56999999999999995"/>
    <n v="18"/>
    <n v="0.73"/>
    <x v="2"/>
  </r>
  <r>
    <s v="S1229"/>
    <n v="1229"/>
    <x v="6"/>
    <x v="0"/>
    <x v="1"/>
    <n v="3.4"/>
    <x v="3"/>
    <n v="75.099999999999994"/>
    <n v="0.89"/>
    <x v="0"/>
    <n v="23"/>
    <n v="67"/>
    <n v="0.7"/>
    <n v="9"/>
    <n v="0.66"/>
    <x v="2"/>
  </r>
  <r>
    <s v="S1230"/>
    <n v="1230"/>
    <x v="3"/>
    <x v="0"/>
    <x v="1"/>
    <n v="3.23"/>
    <x v="2"/>
    <n v="96.9"/>
    <n v="0.87"/>
    <x v="1"/>
    <n v="36"/>
    <n v="54"/>
    <n v="0.64"/>
    <n v="14"/>
    <n v="0.72"/>
    <x v="2"/>
  </r>
  <r>
    <s v="S1231"/>
    <n v="1231"/>
    <x v="0"/>
    <x v="2"/>
    <x v="1"/>
    <n v="3.73"/>
    <x v="0"/>
    <n v="81.8"/>
    <n v="0.79"/>
    <x v="0"/>
    <n v="39"/>
    <n v="81"/>
    <n v="0.87"/>
    <n v="0"/>
    <n v="0.68"/>
    <x v="1"/>
  </r>
  <r>
    <s v="S1232"/>
    <n v="1232"/>
    <x v="4"/>
    <x v="1"/>
    <x v="3"/>
    <n v="2.4500000000000002"/>
    <x v="1"/>
    <n v="70.8"/>
    <n v="0.86"/>
    <x v="1"/>
    <n v="38"/>
    <n v="28"/>
    <n v="0.55000000000000004"/>
    <n v="10"/>
    <n v="0.78"/>
    <x v="0"/>
  </r>
  <r>
    <s v="S1233"/>
    <n v="1233"/>
    <x v="2"/>
    <x v="2"/>
    <x v="0"/>
    <n v="3.75"/>
    <x v="3"/>
    <n v="88.1"/>
    <n v="0.62"/>
    <x v="1"/>
    <n v="31"/>
    <n v="38"/>
    <n v="0.88"/>
    <n v="13"/>
    <n v="0.62"/>
    <x v="0"/>
  </r>
  <r>
    <s v="S1234"/>
    <n v="1234"/>
    <x v="7"/>
    <x v="1"/>
    <x v="2"/>
    <n v="3.58"/>
    <x v="1"/>
    <n v="86.4"/>
    <n v="0.85"/>
    <x v="1"/>
    <n v="35"/>
    <n v="32"/>
    <n v="0.52"/>
    <n v="9"/>
    <n v="0.99"/>
    <x v="2"/>
  </r>
  <r>
    <s v="S1235"/>
    <n v="1235"/>
    <x v="5"/>
    <x v="1"/>
    <x v="1"/>
    <n v="3.5"/>
    <x v="3"/>
    <n v="99.6"/>
    <n v="0.91"/>
    <x v="1"/>
    <n v="36"/>
    <n v="41"/>
    <n v="0.6"/>
    <n v="18"/>
    <n v="0.75"/>
    <x v="2"/>
  </r>
  <r>
    <s v="S1236"/>
    <n v="1236"/>
    <x v="1"/>
    <x v="1"/>
    <x v="0"/>
    <n v="3.12"/>
    <x v="3"/>
    <n v="70.599999999999994"/>
    <n v="0.8"/>
    <x v="1"/>
    <n v="13"/>
    <n v="19"/>
    <n v="0.9"/>
    <n v="15"/>
    <n v="0.6"/>
    <x v="1"/>
  </r>
  <r>
    <s v="S1237"/>
    <n v="1237"/>
    <x v="7"/>
    <x v="2"/>
    <x v="0"/>
    <n v="2.4900000000000002"/>
    <x v="3"/>
    <n v="86.9"/>
    <n v="0.74"/>
    <x v="2"/>
    <n v="26"/>
    <n v="58"/>
    <n v="0.87"/>
    <n v="7"/>
    <n v="0.74"/>
    <x v="0"/>
  </r>
  <r>
    <s v="S1238"/>
    <n v="1238"/>
    <x v="4"/>
    <x v="1"/>
    <x v="3"/>
    <n v="2.85"/>
    <x v="0"/>
    <n v="62.1"/>
    <n v="0.71"/>
    <x v="2"/>
    <n v="18"/>
    <n v="74"/>
    <n v="0.74"/>
    <n v="1"/>
    <n v="0.93"/>
    <x v="0"/>
  </r>
  <r>
    <s v="S1239"/>
    <n v="1239"/>
    <x v="7"/>
    <x v="2"/>
    <x v="0"/>
    <n v="3.59"/>
    <x v="2"/>
    <n v="64.5"/>
    <n v="0.86"/>
    <x v="1"/>
    <n v="30"/>
    <n v="38"/>
    <n v="0.52"/>
    <n v="6"/>
    <n v="0.51"/>
    <x v="2"/>
  </r>
  <r>
    <s v="S1240"/>
    <n v="1240"/>
    <x v="3"/>
    <x v="0"/>
    <x v="3"/>
    <n v="2.06"/>
    <x v="3"/>
    <n v="60.2"/>
    <n v="0.88"/>
    <x v="2"/>
    <n v="8"/>
    <n v="68"/>
    <n v="0.8"/>
    <n v="18"/>
    <n v="0.84"/>
    <x v="0"/>
  </r>
  <r>
    <s v="S1241"/>
    <n v="1241"/>
    <x v="2"/>
    <x v="0"/>
    <x v="1"/>
    <n v="3.56"/>
    <x v="0"/>
    <n v="100"/>
    <n v="0.95"/>
    <x v="0"/>
    <n v="37"/>
    <n v="54"/>
    <n v="0.7"/>
    <n v="6"/>
    <n v="0.77"/>
    <x v="2"/>
  </r>
  <r>
    <s v="S1242"/>
    <n v="1242"/>
    <x v="1"/>
    <x v="1"/>
    <x v="1"/>
    <n v="2.48"/>
    <x v="3"/>
    <n v="92.1"/>
    <n v="0.74"/>
    <x v="0"/>
    <n v="16"/>
    <n v="76"/>
    <n v="0.66"/>
    <n v="14"/>
    <n v="0.57999999999999996"/>
    <x v="0"/>
  </r>
  <r>
    <s v="S1243"/>
    <n v="1243"/>
    <x v="0"/>
    <x v="2"/>
    <x v="2"/>
    <n v="2.29"/>
    <x v="2"/>
    <n v="91.5"/>
    <n v="0.91"/>
    <x v="0"/>
    <n v="18"/>
    <n v="60"/>
    <n v="0.82"/>
    <n v="7"/>
    <n v="0.91"/>
    <x v="0"/>
  </r>
  <r>
    <s v="S1244"/>
    <n v="1244"/>
    <x v="0"/>
    <x v="0"/>
    <x v="2"/>
    <n v="2.23"/>
    <x v="3"/>
    <n v="80.400000000000006"/>
    <n v="0.82"/>
    <x v="1"/>
    <n v="3"/>
    <n v="20"/>
    <n v="0.72"/>
    <n v="13"/>
    <n v="0.68"/>
    <x v="0"/>
  </r>
  <r>
    <s v="S1245"/>
    <n v="1245"/>
    <x v="0"/>
    <x v="2"/>
    <x v="2"/>
    <n v="2.0499999999999998"/>
    <x v="0"/>
    <n v="72"/>
    <n v="0.95"/>
    <x v="1"/>
    <n v="10"/>
    <n v="15"/>
    <n v="0.55000000000000004"/>
    <n v="0"/>
    <n v="0.65"/>
    <x v="0"/>
  </r>
  <r>
    <s v="S1246"/>
    <n v="1246"/>
    <x v="4"/>
    <x v="2"/>
    <x v="0"/>
    <n v="3.05"/>
    <x v="2"/>
    <n v="66.099999999999994"/>
    <n v="0.81"/>
    <x v="2"/>
    <n v="21"/>
    <n v="76"/>
    <n v="0.96"/>
    <n v="12"/>
    <n v="0.91"/>
    <x v="1"/>
  </r>
  <r>
    <s v="S1247"/>
    <n v="1247"/>
    <x v="6"/>
    <x v="1"/>
    <x v="1"/>
    <n v="2.44"/>
    <x v="0"/>
    <n v="71.400000000000006"/>
    <n v="0.81"/>
    <x v="2"/>
    <n v="3"/>
    <n v="71"/>
    <n v="0.89"/>
    <n v="2"/>
    <n v="0.82"/>
    <x v="0"/>
  </r>
  <r>
    <s v="S1248"/>
    <n v="1248"/>
    <x v="6"/>
    <x v="0"/>
    <x v="3"/>
    <n v="3.98"/>
    <x v="2"/>
    <n v="75"/>
    <n v="0.83"/>
    <x v="2"/>
    <n v="16"/>
    <n v="14"/>
    <n v="0.53"/>
    <n v="5"/>
    <n v="0.95"/>
    <x v="1"/>
  </r>
  <r>
    <s v="S1249"/>
    <n v="1249"/>
    <x v="5"/>
    <x v="1"/>
    <x v="2"/>
    <n v="3.15"/>
    <x v="2"/>
    <n v="90.3"/>
    <n v="0.9"/>
    <x v="0"/>
    <n v="7"/>
    <n v="18"/>
    <n v="0.76"/>
    <n v="18"/>
    <n v="0.81"/>
    <x v="2"/>
  </r>
  <r>
    <s v="S1250"/>
    <n v="1250"/>
    <x v="1"/>
    <x v="1"/>
    <x v="3"/>
    <n v="2.2799999999999998"/>
    <x v="1"/>
    <n v="81.599999999999994"/>
    <n v="0.99"/>
    <x v="0"/>
    <n v="33"/>
    <n v="37"/>
    <n v="0.54"/>
    <n v="14"/>
    <n v="0.87"/>
    <x v="0"/>
  </r>
  <r>
    <s v="S1251"/>
    <n v="1251"/>
    <x v="0"/>
    <x v="0"/>
    <x v="3"/>
    <n v="3.38"/>
    <x v="1"/>
    <n v="63.1"/>
    <n v="0.63"/>
    <x v="0"/>
    <n v="10"/>
    <n v="86"/>
    <n v="0.92"/>
    <n v="3"/>
    <n v="0.92"/>
    <x v="0"/>
  </r>
  <r>
    <s v="S1252"/>
    <n v="1252"/>
    <x v="6"/>
    <x v="0"/>
    <x v="2"/>
    <n v="3.8"/>
    <x v="1"/>
    <n v="60.7"/>
    <n v="0.62"/>
    <x v="0"/>
    <n v="30"/>
    <n v="47"/>
    <n v="0.81"/>
    <n v="2"/>
    <n v="0.53"/>
    <x v="0"/>
  </r>
  <r>
    <s v="S1253"/>
    <n v="1253"/>
    <x v="4"/>
    <x v="2"/>
    <x v="1"/>
    <n v="3.49"/>
    <x v="2"/>
    <n v="64.099999999999994"/>
    <n v="0.98"/>
    <x v="2"/>
    <n v="10"/>
    <n v="52"/>
    <n v="0.59"/>
    <n v="3"/>
    <n v="0.89"/>
    <x v="2"/>
  </r>
  <r>
    <s v="S1254"/>
    <n v="1254"/>
    <x v="5"/>
    <x v="0"/>
    <x v="2"/>
    <n v="2.15"/>
    <x v="3"/>
    <n v="76.400000000000006"/>
    <n v="0.81"/>
    <x v="1"/>
    <n v="37"/>
    <n v="30"/>
    <n v="0.51"/>
    <n v="4"/>
    <n v="0.81"/>
    <x v="0"/>
  </r>
  <r>
    <s v="S1255"/>
    <n v="1255"/>
    <x v="2"/>
    <x v="2"/>
    <x v="3"/>
    <n v="3.79"/>
    <x v="0"/>
    <n v="97.3"/>
    <n v="0.85"/>
    <x v="1"/>
    <n v="20"/>
    <n v="71"/>
    <n v="0.52"/>
    <n v="17"/>
    <n v="0.53"/>
    <x v="2"/>
  </r>
  <r>
    <s v="S1256"/>
    <n v="1256"/>
    <x v="5"/>
    <x v="2"/>
    <x v="2"/>
    <n v="3.59"/>
    <x v="0"/>
    <n v="85.5"/>
    <n v="0.79"/>
    <x v="0"/>
    <n v="29"/>
    <n v="55"/>
    <n v="0.75"/>
    <n v="9"/>
    <n v="0.75"/>
    <x v="1"/>
  </r>
  <r>
    <s v="S1257"/>
    <n v="1257"/>
    <x v="6"/>
    <x v="2"/>
    <x v="3"/>
    <n v="2.3199999999999998"/>
    <x v="0"/>
    <n v="92.1"/>
    <n v="0.64"/>
    <x v="1"/>
    <n v="9"/>
    <n v="79"/>
    <n v="0.87"/>
    <n v="7"/>
    <n v="0.54"/>
    <x v="0"/>
  </r>
  <r>
    <s v="S1258"/>
    <n v="1258"/>
    <x v="3"/>
    <x v="0"/>
    <x v="3"/>
    <n v="2.1"/>
    <x v="1"/>
    <n v="78.7"/>
    <n v="0.91"/>
    <x v="1"/>
    <n v="25"/>
    <n v="47"/>
    <n v="0.56000000000000005"/>
    <n v="11"/>
    <n v="0.87"/>
    <x v="0"/>
  </r>
  <r>
    <s v="S1259"/>
    <n v="1259"/>
    <x v="4"/>
    <x v="1"/>
    <x v="2"/>
    <n v="3.11"/>
    <x v="2"/>
    <n v="74.5"/>
    <n v="0.9"/>
    <x v="1"/>
    <n v="26"/>
    <n v="58"/>
    <n v="0.61"/>
    <n v="2"/>
    <n v="0.77"/>
    <x v="2"/>
  </r>
  <r>
    <s v="S1260"/>
    <n v="1260"/>
    <x v="3"/>
    <x v="2"/>
    <x v="0"/>
    <n v="2.31"/>
    <x v="1"/>
    <n v="64.3"/>
    <n v="0.72"/>
    <x v="0"/>
    <n v="7"/>
    <n v="84"/>
    <n v="0.66"/>
    <n v="17"/>
    <n v="0.98"/>
    <x v="0"/>
  </r>
  <r>
    <s v="S1261"/>
    <n v="1261"/>
    <x v="0"/>
    <x v="1"/>
    <x v="2"/>
    <n v="3.67"/>
    <x v="3"/>
    <n v="95"/>
    <n v="0.72"/>
    <x v="2"/>
    <n v="38"/>
    <n v="48"/>
    <n v="0.61"/>
    <n v="7"/>
    <n v="0.59"/>
    <x v="0"/>
  </r>
  <r>
    <s v="S1262"/>
    <n v="1262"/>
    <x v="3"/>
    <x v="1"/>
    <x v="0"/>
    <n v="2.72"/>
    <x v="2"/>
    <n v="91.3"/>
    <n v="0.94"/>
    <x v="2"/>
    <n v="7"/>
    <n v="80"/>
    <n v="0.7"/>
    <n v="0"/>
    <n v="0.8"/>
    <x v="1"/>
  </r>
  <r>
    <s v="S1263"/>
    <n v="1263"/>
    <x v="0"/>
    <x v="0"/>
    <x v="3"/>
    <n v="3.83"/>
    <x v="0"/>
    <n v="66.7"/>
    <n v="0.63"/>
    <x v="1"/>
    <n v="7"/>
    <n v="39"/>
    <n v="0.78"/>
    <n v="13"/>
    <n v="0.61"/>
    <x v="0"/>
  </r>
  <r>
    <s v="S1264"/>
    <n v="1264"/>
    <x v="0"/>
    <x v="1"/>
    <x v="3"/>
    <n v="3.13"/>
    <x v="1"/>
    <n v="80.5"/>
    <n v="0.95"/>
    <x v="2"/>
    <n v="33"/>
    <n v="30"/>
    <n v="0.84"/>
    <n v="12"/>
    <n v="0.81"/>
    <x v="2"/>
  </r>
  <r>
    <s v="S1265"/>
    <n v="1265"/>
    <x v="6"/>
    <x v="1"/>
    <x v="0"/>
    <n v="2.37"/>
    <x v="1"/>
    <n v="79.5"/>
    <n v="0.7"/>
    <x v="2"/>
    <n v="15"/>
    <n v="10"/>
    <n v="0.98"/>
    <n v="11"/>
    <n v="0.86"/>
    <x v="0"/>
  </r>
  <r>
    <s v="S1266"/>
    <n v="1266"/>
    <x v="3"/>
    <x v="0"/>
    <x v="3"/>
    <n v="2.2799999999999998"/>
    <x v="3"/>
    <n v="85"/>
    <n v="0.84"/>
    <x v="0"/>
    <n v="12"/>
    <n v="41"/>
    <n v="0.97"/>
    <n v="2"/>
    <n v="0.86"/>
    <x v="0"/>
  </r>
  <r>
    <s v="S1267"/>
    <n v="1267"/>
    <x v="0"/>
    <x v="2"/>
    <x v="0"/>
    <n v="3.15"/>
    <x v="3"/>
    <n v="97.8"/>
    <n v="0.97"/>
    <x v="0"/>
    <n v="22"/>
    <n v="17"/>
    <n v="0.79"/>
    <n v="17"/>
    <n v="0.91"/>
    <x v="2"/>
  </r>
  <r>
    <s v="S1268"/>
    <n v="1268"/>
    <x v="1"/>
    <x v="1"/>
    <x v="0"/>
    <n v="3.52"/>
    <x v="1"/>
    <n v="83.2"/>
    <n v="0.87"/>
    <x v="1"/>
    <n v="11"/>
    <n v="78"/>
    <n v="0.87"/>
    <n v="12"/>
    <n v="0.93"/>
    <x v="2"/>
  </r>
  <r>
    <s v="S1269"/>
    <n v="1269"/>
    <x v="2"/>
    <x v="0"/>
    <x v="3"/>
    <n v="3.56"/>
    <x v="3"/>
    <n v="81.599999999999994"/>
    <n v="0.77"/>
    <x v="1"/>
    <n v="26"/>
    <n v="39"/>
    <n v="0.98"/>
    <n v="14"/>
    <n v="0.54"/>
    <x v="1"/>
  </r>
  <r>
    <s v="S1270"/>
    <n v="1270"/>
    <x v="5"/>
    <x v="1"/>
    <x v="1"/>
    <n v="2.5499999999999998"/>
    <x v="0"/>
    <n v="62"/>
    <n v="0.88"/>
    <x v="1"/>
    <n v="21"/>
    <n v="17"/>
    <n v="0.54"/>
    <n v="9"/>
    <n v="0.67"/>
    <x v="1"/>
  </r>
  <r>
    <s v="S1271"/>
    <n v="1271"/>
    <x v="5"/>
    <x v="1"/>
    <x v="0"/>
    <n v="2.41"/>
    <x v="3"/>
    <n v="62.5"/>
    <n v="0.74"/>
    <x v="0"/>
    <n v="31"/>
    <n v="28"/>
    <n v="0.5"/>
    <n v="0"/>
    <n v="0.84"/>
    <x v="0"/>
  </r>
  <r>
    <s v="S1272"/>
    <n v="1272"/>
    <x v="6"/>
    <x v="2"/>
    <x v="2"/>
    <n v="2.0299999999999998"/>
    <x v="3"/>
    <n v="67.5"/>
    <n v="0.71"/>
    <x v="2"/>
    <n v="26"/>
    <n v="68"/>
    <n v="0.51"/>
    <n v="5"/>
    <n v="0.75"/>
    <x v="0"/>
  </r>
  <r>
    <s v="S1273"/>
    <n v="1273"/>
    <x v="3"/>
    <x v="1"/>
    <x v="2"/>
    <n v="3.36"/>
    <x v="1"/>
    <n v="61.3"/>
    <n v="1"/>
    <x v="0"/>
    <n v="1"/>
    <n v="64"/>
    <n v="0.78"/>
    <n v="8"/>
    <n v="0.6"/>
    <x v="2"/>
  </r>
  <r>
    <s v="S1274"/>
    <n v="1274"/>
    <x v="3"/>
    <x v="0"/>
    <x v="3"/>
    <n v="2.15"/>
    <x v="1"/>
    <n v="89.7"/>
    <n v="0.9"/>
    <x v="0"/>
    <n v="32"/>
    <n v="39"/>
    <n v="0.88"/>
    <n v="9"/>
    <n v="0.78"/>
    <x v="0"/>
  </r>
  <r>
    <s v="S1275"/>
    <n v="1275"/>
    <x v="0"/>
    <x v="1"/>
    <x v="1"/>
    <n v="2.84"/>
    <x v="2"/>
    <n v="88.9"/>
    <n v="0.86"/>
    <x v="2"/>
    <n v="25"/>
    <n v="88"/>
    <n v="0.68"/>
    <n v="14"/>
    <n v="0.7"/>
    <x v="1"/>
  </r>
  <r>
    <s v="S1276"/>
    <n v="1276"/>
    <x v="4"/>
    <x v="2"/>
    <x v="3"/>
    <n v="3.2"/>
    <x v="2"/>
    <n v="65.400000000000006"/>
    <n v="0.74"/>
    <x v="2"/>
    <n v="27"/>
    <n v="45"/>
    <n v="0.77"/>
    <n v="8"/>
    <n v="0.7"/>
    <x v="0"/>
  </r>
  <r>
    <s v="S1277"/>
    <n v="1277"/>
    <x v="7"/>
    <x v="2"/>
    <x v="1"/>
    <n v="3.87"/>
    <x v="1"/>
    <n v="93.4"/>
    <n v="0.62"/>
    <x v="1"/>
    <n v="18"/>
    <n v="64"/>
    <n v="0.76"/>
    <n v="13"/>
    <n v="0.9"/>
    <x v="0"/>
  </r>
  <r>
    <s v="S1278"/>
    <n v="1278"/>
    <x v="0"/>
    <x v="0"/>
    <x v="0"/>
    <n v="2.62"/>
    <x v="3"/>
    <n v="66.2"/>
    <n v="0.61"/>
    <x v="2"/>
    <n v="4"/>
    <n v="53"/>
    <n v="0.55000000000000004"/>
    <n v="10"/>
    <n v="0.7"/>
    <x v="0"/>
  </r>
  <r>
    <s v="S1279"/>
    <n v="1279"/>
    <x v="2"/>
    <x v="2"/>
    <x v="0"/>
    <n v="2.5"/>
    <x v="3"/>
    <n v="72"/>
    <n v="0.82"/>
    <x v="2"/>
    <n v="32"/>
    <n v="36"/>
    <n v="0.66"/>
    <n v="6"/>
    <n v="0.51"/>
    <x v="1"/>
  </r>
  <r>
    <s v="S1280"/>
    <n v="1280"/>
    <x v="1"/>
    <x v="1"/>
    <x v="0"/>
    <n v="3.31"/>
    <x v="2"/>
    <n v="70"/>
    <n v="0.9"/>
    <x v="2"/>
    <n v="19"/>
    <n v="86"/>
    <n v="0.51"/>
    <n v="1"/>
    <n v="0.53"/>
    <x v="2"/>
  </r>
  <r>
    <s v="S1281"/>
    <n v="1281"/>
    <x v="5"/>
    <x v="2"/>
    <x v="0"/>
    <n v="3.24"/>
    <x v="2"/>
    <n v="74.900000000000006"/>
    <n v="0.81"/>
    <x v="2"/>
    <n v="29"/>
    <n v="87"/>
    <n v="0.56000000000000005"/>
    <n v="13"/>
    <n v="0.93"/>
    <x v="1"/>
  </r>
  <r>
    <s v="S1282"/>
    <n v="1282"/>
    <x v="0"/>
    <x v="0"/>
    <x v="2"/>
    <n v="2.66"/>
    <x v="2"/>
    <n v="70.2"/>
    <n v="0.94"/>
    <x v="1"/>
    <n v="7"/>
    <n v="63"/>
    <n v="0.91"/>
    <n v="5"/>
    <n v="0.98"/>
    <x v="1"/>
  </r>
  <r>
    <s v="S1283"/>
    <n v="1283"/>
    <x v="7"/>
    <x v="2"/>
    <x v="2"/>
    <n v="3.86"/>
    <x v="0"/>
    <n v="79.599999999999994"/>
    <n v="0.61"/>
    <x v="1"/>
    <n v="37"/>
    <n v="57"/>
    <n v="0.91"/>
    <n v="4"/>
    <n v="0.84"/>
    <x v="0"/>
  </r>
  <r>
    <s v="S1284"/>
    <n v="1284"/>
    <x v="7"/>
    <x v="2"/>
    <x v="3"/>
    <n v="3.69"/>
    <x v="0"/>
    <n v="76.3"/>
    <n v="0.75"/>
    <x v="2"/>
    <n v="16"/>
    <n v="39"/>
    <n v="0.9"/>
    <n v="4"/>
    <n v="0.68"/>
    <x v="1"/>
  </r>
  <r>
    <s v="S1285"/>
    <n v="1285"/>
    <x v="0"/>
    <x v="2"/>
    <x v="1"/>
    <n v="2.4500000000000002"/>
    <x v="2"/>
    <n v="99.5"/>
    <n v="0.69"/>
    <x v="2"/>
    <n v="0"/>
    <n v="48"/>
    <n v="0.86"/>
    <n v="18"/>
    <n v="0.97"/>
    <x v="0"/>
  </r>
  <r>
    <s v="S1286"/>
    <n v="1286"/>
    <x v="6"/>
    <x v="0"/>
    <x v="0"/>
    <n v="2.48"/>
    <x v="3"/>
    <n v="62.2"/>
    <n v="0.78"/>
    <x v="1"/>
    <n v="2"/>
    <n v="22"/>
    <n v="0.9"/>
    <n v="18"/>
    <n v="0.83"/>
    <x v="0"/>
  </r>
  <r>
    <s v="S1287"/>
    <n v="1287"/>
    <x v="5"/>
    <x v="2"/>
    <x v="0"/>
    <n v="3.02"/>
    <x v="2"/>
    <n v="65.7"/>
    <n v="0.63"/>
    <x v="1"/>
    <n v="25"/>
    <n v="25"/>
    <n v="0.84"/>
    <n v="5"/>
    <n v="0.92"/>
    <x v="0"/>
  </r>
  <r>
    <s v="S1288"/>
    <n v="1288"/>
    <x v="6"/>
    <x v="2"/>
    <x v="1"/>
    <n v="3.55"/>
    <x v="0"/>
    <n v="62.1"/>
    <n v="0.98"/>
    <x v="2"/>
    <n v="30"/>
    <n v="53"/>
    <n v="0.83"/>
    <n v="9"/>
    <n v="0.88"/>
    <x v="2"/>
  </r>
  <r>
    <s v="S1289"/>
    <n v="1289"/>
    <x v="1"/>
    <x v="1"/>
    <x v="1"/>
    <n v="2.09"/>
    <x v="3"/>
    <n v="85"/>
    <n v="0.69"/>
    <x v="0"/>
    <n v="7"/>
    <n v="80"/>
    <n v="0.83"/>
    <n v="13"/>
    <n v="0.69"/>
    <x v="0"/>
  </r>
  <r>
    <s v="S1290"/>
    <n v="1290"/>
    <x v="7"/>
    <x v="0"/>
    <x v="3"/>
    <n v="3.39"/>
    <x v="0"/>
    <n v="62.2"/>
    <n v="0.97"/>
    <x v="1"/>
    <n v="7"/>
    <n v="36"/>
    <n v="0.76"/>
    <n v="16"/>
    <n v="0.74"/>
    <x v="2"/>
  </r>
  <r>
    <s v="S1291"/>
    <n v="1291"/>
    <x v="7"/>
    <x v="2"/>
    <x v="1"/>
    <n v="3.3"/>
    <x v="3"/>
    <n v="93.5"/>
    <n v="0.77"/>
    <x v="1"/>
    <n v="34"/>
    <n v="54"/>
    <n v="0.68"/>
    <n v="2"/>
    <n v="0.59"/>
    <x v="1"/>
  </r>
  <r>
    <s v="S1292"/>
    <n v="1292"/>
    <x v="2"/>
    <x v="0"/>
    <x v="0"/>
    <n v="2.46"/>
    <x v="0"/>
    <n v="80.5"/>
    <n v="0.99"/>
    <x v="1"/>
    <n v="38"/>
    <n v="44"/>
    <n v="0.87"/>
    <n v="0"/>
    <n v="0.65"/>
    <x v="0"/>
  </r>
  <r>
    <s v="S1293"/>
    <n v="1293"/>
    <x v="1"/>
    <x v="2"/>
    <x v="0"/>
    <n v="3.36"/>
    <x v="3"/>
    <n v="81.099999999999994"/>
    <n v="0.82"/>
    <x v="2"/>
    <n v="27"/>
    <n v="88"/>
    <n v="0.65"/>
    <n v="9"/>
    <n v="0.89"/>
    <x v="1"/>
  </r>
  <r>
    <s v="S1294"/>
    <n v="1294"/>
    <x v="7"/>
    <x v="2"/>
    <x v="0"/>
    <n v="3.88"/>
    <x v="3"/>
    <n v="82.5"/>
    <n v="0.97"/>
    <x v="2"/>
    <n v="3"/>
    <n v="37"/>
    <n v="0.77"/>
    <n v="2"/>
    <n v="0.95"/>
    <x v="2"/>
  </r>
  <r>
    <s v="S1295"/>
    <n v="1295"/>
    <x v="1"/>
    <x v="2"/>
    <x v="0"/>
    <n v="2.09"/>
    <x v="3"/>
    <n v="66.8"/>
    <n v="0.6"/>
    <x v="1"/>
    <n v="15"/>
    <n v="16"/>
    <n v="0.72"/>
    <n v="4"/>
    <n v="0.86"/>
    <x v="0"/>
  </r>
  <r>
    <s v="S1296"/>
    <n v="1296"/>
    <x v="5"/>
    <x v="1"/>
    <x v="0"/>
    <n v="2.64"/>
    <x v="3"/>
    <n v="67.900000000000006"/>
    <n v="0.9"/>
    <x v="2"/>
    <n v="12"/>
    <n v="71"/>
    <n v="0.64"/>
    <n v="18"/>
    <n v="0.73"/>
    <x v="1"/>
  </r>
  <r>
    <s v="S1297"/>
    <n v="1297"/>
    <x v="3"/>
    <x v="1"/>
    <x v="3"/>
    <n v="2.88"/>
    <x v="1"/>
    <n v="72.8"/>
    <n v="0.96"/>
    <x v="2"/>
    <n v="19"/>
    <n v="60"/>
    <n v="0.99"/>
    <n v="9"/>
    <n v="0.54"/>
    <x v="1"/>
  </r>
  <r>
    <s v="S1298"/>
    <n v="1298"/>
    <x v="7"/>
    <x v="1"/>
    <x v="0"/>
    <n v="3.8"/>
    <x v="0"/>
    <n v="83.7"/>
    <n v="0.66"/>
    <x v="1"/>
    <n v="4"/>
    <n v="55"/>
    <n v="0.63"/>
    <n v="15"/>
    <n v="0.53"/>
    <x v="0"/>
  </r>
  <r>
    <s v="S1299"/>
    <n v="1299"/>
    <x v="2"/>
    <x v="0"/>
    <x v="3"/>
    <n v="3.92"/>
    <x v="0"/>
    <n v="68.400000000000006"/>
    <n v="0.64"/>
    <x v="2"/>
    <n v="36"/>
    <n v="29"/>
    <n v="0.65"/>
    <n v="0"/>
    <n v="0.69"/>
    <x v="0"/>
  </r>
  <r>
    <s v="S1300"/>
    <n v="1300"/>
    <x v="5"/>
    <x v="0"/>
    <x v="0"/>
    <n v="2.89"/>
    <x v="1"/>
    <n v="64.7"/>
    <n v="0.77"/>
    <x v="0"/>
    <n v="19"/>
    <n v="47"/>
    <n v="0.57999999999999996"/>
    <n v="5"/>
    <n v="0.73"/>
    <x v="1"/>
  </r>
  <r>
    <s v="S1301"/>
    <n v="1301"/>
    <x v="0"/>
    <x v="1"/>
    <x v="2"/>
    <n v="3.5"/>
    <x v="3"/>
    <n v="98.8"/>
    <n v="0.97"/>
    <x v="2"/>
    <n v="23"/>
    <n v="70"/>
    <n v="0.91"/>
    <n v="8"/>
    <n v="0.8"/>
    <x v="2"/>
  </r>
  <r>
    <s v="S1302"/>
    <n v="1302"/>
    <x v="1"/>
    <x v="0"/>
    <x v="2"/>
    <n v="3.06"/>
    <x v="3"/>
    <n v="60.9"/>
    <n v="0.82"/>
    <x v="2"/>
    <n v="35"/>
    <n v="41"/>
    <n v="0.79"/>
    <n v="4"/>
    <n v="0.5"/>
    <x v="1"/>
  </r>
  <r>
    <s v="S1303"/>
    <n v="1303"/>
    <x v="0"/>
    <x v="2"/>
    <x v="2"/>
    <n v="3.08"/>
    <x v="0"/>
    <n v="92.1"/>
    <n v="0.81"/>
    <x v="1"/>
    <n v="33"/>
    <n v="35"/>
    <n v="0.81"/>
    <n v="13"/>
    <n v="0.99"/>
    <x v="1"/>
  </r>
  <r>
    <s v="S1304"/>
    <n v="1304"/>
    <x v="6"/>
    <x v="2"/>
    <x v="2"/>
    <n v="2.56"/>
    <x v="1"/>
    <n v="91.5"/>
    <n v="0.66"/>
    <x v="1"/>
    <n v="33"/>
    <n v="67"/>
    <n v="0.91"/>
    <n v="9"/>
    <n v="0.68"/>
    <x v="0"/>
  </r>
  <r>
    <s v="S1305"/>
    <n v="1305"/>
    <x v="5"/>
    <x v="2"/>
    <x v="3"/>
    <n v="2.4300000000000002"/>
    <x v="3"/>
    <n v="71.900000000000006"/>
    <n v="0.6"/>
    <x v="0"/>
    <n v="18"/>
    <n v="48"/>
    <n v="0.67"/>
    <n v="1"/>
    <n v="0.92"/>
    <x v="0"/>
  </r>
  <r>
    <s v="S1306"/>
    <n v="1306"/>
    <x v="0"/>
    <x v="1"/>
    <x v="3"/>
    <n v="2.58"/>
    <x v="3"/>
    <n v="65.400000000000006"/>
    <n v="0.92"/>
    <x v="2"/>
    <n v="16"/>
    <n v="29"/>
    <n v="0.6"/>
    <n v="4"/>
    <n v="0.77"/>
    <x v="1"/>
  </r>
  <r>
    <s v="S1307"/>
    <n v="1307"/>
    <x v="4"/>
    <x v="0"/>
    <x v="1"/>
    <n v="3.11"/>
    <x v="3"/>
    <n v="65.8"/>
    <n v="0.64"/>
    <x v="0"/>
    <n v="4"/>
    <n v="59"/>
    <n v="0.6"/>
    <n v="0"/>
    <n v="0.56999999999999995"/>
    <x v="0"/>
  </r>
  <r>
    <s v="S1308"/>
    <n v="1308"/>
    <x v="4"/>
    <x v="1"/>
    <x v="0"/>
    <n v="2.06"/>
    <x v="2"/>
    <n v="87.9"/>
    <n v="0.85"/>
    <x v="0"/>
    <n v="24"/>
    <n v="88"/>
    <n v="0.87"/>
    <n v="9"/>
    <n v="0.9"/>
    <x v="0"/>
  </r>
  <r>
    <s v="S1309"/>
    <n v="1309"/>
    <x v="7"/>
    <x v="0"/>
    <x v="2"/>
    <n v="3.81"/>
    <x v="1"/>
    <n v="85.7"/>
    <n v="0.97"/>
    <x v="1"/>
    <n v="17"/>
    <n v="61"/>
    <n v="0.81"/>
    <n v="8"/>
    <n v="0.85"/>
    <x v="2"/>
  </r>
  <r>
    <s v="S1310"/>
    <n v="1310"/>
    <x v="1"/>
    <x v="2"/>
    <x v="3"/>
    <n v="2.31"/>
    <x v="3"/>
    <n v="91.3"/>
    <n v="0.68"/>
    <x v="2"/>
    <n v="7"/>
    <n v="31"/>
    <n v="0.6"/>
    <n v="2"/>
    <n v="0.76"/>
    <x v="0"/>
  </r>
  <r>
    <s v="S1311"/>
    <n v="1311"/>
    <x v="3"/>
    <x v="1"/>
    <x v="0"/>
    <n v="2.44"/>
    <x v="2"/>
    <n v="97.5"/>
    <n v="0.87"/>
    <x v="1"/>
    <n v="26"/>
    <n v="62"/>
    <n v="0.56999999999999995"/>
    <n v="14"/>
    <n v="0.76"/>
    <x v="0"/>
  </r>
  <r>
    <s v="S1312"/>
    <n v="1312"/>
    <x v="5"/>
    <x v="0"/>
    <x v="0"/>
    <n v="3.04"/>
    <x v="1"/>
    <n v="87.7"/>
    <n v="0.63"/>
    <x v="0"/>
    <n v="14"/>
    <n v="75"/>
    <n v="0.56000000000000005"/>
    <n v="3"/>
    <n v="0.54"/>
    <x v="0"/>
  </r>
  <r>
    <s v="S1313"/>
    <n v="1313"/>
    <x v="7"/>
    <x v="0"/>
    <x v="3"/>
    <n v="3.42"/>
    <x v="3"/>
    <n v="66.2"/>
    <n v="0.84"/>
    <x v="0"/>
    <n v="12"/>
    <n v="52"/>
    <n v="0.81"/>
    <n v="12"/>
    <n v="0.83"/>
    <x v="1"/>
  </r>
  <r>
    <s v="S1314"/>
    <n v="1314"/>
    <x v="2"/>
    <x v="2"/>
    <x v="2"/>
    <n v="2.19"/>
    <x v="0"/>
    <n v="69.7"/>
    <n v="0.67"/>
    <x v="1"/>
    <n v="15"/>
    <n v="32"/>
    <n v="0.5"/>
    <n v="5"/>
    <n v="0.96"/>
    <x v="0"/>
  </r>
  <r>
    <s v="S1315"/>
    <n v="1315"/>
    <x v="6"/>
    <x v="1"/>
    <x v="1"/>
    <n v="2.64"/>
    <x v="2"/>
    <n v="93.7"/>
    <n v="0.89"/>
    <x v="1"/>
    <n v="21"/>
    <n v="86"/>
    <n v="0.51"/>
    <n v="19"/>
    <n v="0.55000000000000004"/>
    <x v="1"/>
  </r>
  <r>
    <s v="S1316"/>
    <n v="1316"/>
    <x v="1"/>
    <x v="1"/>
    <x v="0"/>
    <n v="3.94"/>
    <x v="2"/>
    <n v="68.400000000000006"/>
    <n v="0.72"/>
    <x v="1"/>
    <n v="19"/>
    <n v="73"/>
    <n v="0.69"/>
    <n v="16"/>
    <n v="0.63"/>
    <x v="0"/>
  </r>
  <r>
    <s v="S1317"/>
    <n v="1317"/>
    <x v="5"/>
    <x v="1"/>
    <x v="1"/>
    <n v="2.52"/>
    <x v="3"/>
    <n v="62.9"/>
    <n v="0.79"/>
    <x v="1"/>
    <n v="12"/>
    <n v="18"/>
    <n v="0.85"/>
    <n v="4"/>
    <n v="0.95"/>
    <x v="1"/>
  </r>
  <r>
    <s v="S1318"/>
    <n v="1318"/>
    <x v="4"/>
    <x v="2"/>
    <x v="2"/>
    <n v="2.63"/>
    <x v="3"/>
    <n v="88.1"/>
    <n v="0.84"/>
    <x v="1"/>
    <n v="19"/>
    <n v="16"/>
    <n v="0.85"/>
    <n v="14"/>
    <n v="0.64"/>
    <x v="1"/>
  </r>
  <r>
    <s v="S1319"/>
    <n v="1319"/>
    <x v="5"/>
    <x v="1"/>
    <x v="2"/>
    <n v="3.67"/>
    <x v="2"/>
    <n v="76.099999999999994"/>
    <n v="0.67"/>
    <x v="0"/>
    <n v="1"/>
    <n v="50"/>
    <n v="0.72"/>
    <n v="7"/>
    <n v="0.83"/>
    <x v="0"/>
  </r>
  <r>
    <s v="S1320"/>
    <n v="1320"/>
    <x v="3"/>
    <x v="2"/>
    <x v="1"/>
    <n v="2.1"/>
    <x v="0"/>
    <n v="96.8"/>
    <n v="0.9"/>
    <x v="1"/>
    <n v="34"/>
    <n v="63"/>
    <n v="0.85"/>
    <n v="4"/>
    <n v="0.77"/>
    <x v="0"/>
  </r>
  <r>
    <s v="S1321"/>
    <n v="1321"/>
    <x v="4"/>
    <x v="2"/>
    <x v="2"/>
    <n v="2.93"/>
    <x v="0"/>
    <n v="86"/>
    <n v="0.72"/>
    <x v="2"/>
    <n v="18"/>
    <n v="74"/>
    <n v="0.76"/>
    <n v="12"/>
    <n v="0.8"/>
    <x v="0"/>
  </r>
  <r>
    <s v="S1322"/>
    <n v="1322"/>
    <x v="3"/>
    <x v="2"/>
    <x v="0"/>
    <n v="2.76"/>
    <x v="1"/>
    <n v="63.6"/>
    <n v="0.86"/>
    <x v="0"/>
    <n v="36"/>
    <n v="11"/>
    <n v="0.99"/>
    <n v="0"/>
    <n v="0.71"/>
    <x v="1"/>
  </r>
  <r>
    <s v="S1323"/>
    <n v="1323"/>
    <x v="2"/>
    <x v="0"/>
    <x v="1"/>
    <n v="2.63"/>
    <x v="3"/>
    <n v="97.9"/>
    <n v="0.66"/>
    <x v="0"/>
    <n v="5"/>
    <n v="13"/>
    <n v="0.57999999999999996"/>
    <n v="0"/>
    <n v="0.65"/>
    <x v="0"/>
  </r>
  <r>
    <s v="S1324"/>
    <n v="1324"/>
    <x v="6"/>
    <x v="1"/>
    <x v="2"/>
    <n v="2.57"/>
    <x v="0"/>
    <n v="70.3"/>
    <n v="0.88"/>
    <x v="2"/>
    <n v="13"/>
    <n v="87"/>
    <n v="0.8"/>
    <n v="6"/>
    <n v="0.52"/>
    <x v="1"/>
  </r>
  <r>
    <s v="S1325"/>
    <n v="1325"/>
    <x v="2"/>
    <x v="1"/>
    <x v="1"/>
    <n v="2.1800000000000002"/>
    <x v="1"/>
    <n v="73.5"/>
    <n v="0.65"/>
    <x v="2"/>
    <n v="3"/>
    <n v="41"/>
    <n v="0.75"/>
    <n v="4"/>
    <n v="0.87"/>
    <x v="0"/>
  </r>
  <r>
    <s v="S1326"/>
    <n v="1326"/>
    <x v="7"/>
    <x v="2"/>
    <x v="0"/>
    <n v="2.63"/>
    <x v="0"/>
    <n v="76.099999999999994"/>
    <n v="0.77"/>
    <x v="0"/>
    <n v="21"/>
    <n v="11"/>
    <n v="0.6"/>
    <n v="13"/>
    <n v="0.87"/>
    <x v="1"/>
  </r>
  <r>
    <s v="S1327"/>
    <n v="1327"/>
    <x v="7"/>
    <x v="2"/>
    <x v="2"/>
    <n v="2.09"/>
    <x v="3"/>
    <n v="62"/>
    <n v="0.7"/>
    <x v="1"/>
    <n v="38"/>
    <n v="73"/>
    <n v="0.87"/>
    <n v="14"/>
    <n v="0.84"/>
    <x v="0"/>
  </r>
  <r>
    <s v="S1328"/>
    <n v="1328"/>
    <x v="2"/>
    <x v="1"/>
    <x v="0"/>
    <n v="3.56"/>
    <x v="1"/>
    <n v="79.900000000000006"/>
    <n v="0.9"/>
    <x v="0"/>
    <n v="35"/>
    <n v="23"/>
    <n v="0.64"/>
    <n v="16"/>
    <n v="0.82"/>
    <x v="2"/>
  </r>
  <r>
    <s v="S1329"/>
    <n v="1329"/>
    <x v="6"/>
    <x v="2"/>
    <x v="2"/>
    <n v="2.8"/>
    <x v="1"/>
    <n v="64.900000000000006"/>
    <n v="0.7"/>
    <x v="0"/>
    <n v="33"/>
    <n v="29"/>
    <n v="0.69"/>
    <n v="17"/>
    <n v="0.62"/>
    <x v="0"/>
  </r>
  <r>
    <s v="S1330"/>
    <n v="1330"/>
    <x v="2"/>
    <x v="1"/>
    <x v="3"/>
    <n v="2.89"/>
    <x v="1"/>
    <n v="76"/>
    <n v="0.95"/>
    <x v="2"/>
    <n v="26"/>
    <n v="58"/>
    <n v="0.69"/>
    <n v="6"/>
    <n v="0.51"/>
    <x v="1"/>
  </r>
  <r>
    <s v="S1331"/>
    <n v="1331"/>
    <x v="6"/>
    <x v="0"/>
    <x v="2"/>
    <n v="3.79"/>
    <x v="0"/>
    <n v="74"/>
    <n v="0.96"/>
    <x v="0"/>
    <n v="6"/>
    <n v="17"/>
    <n v="0.62"/>
    <n v="17"/>
    <n v="0.9"/>
    <x v="2"/>
  </r>
  <r>
    <s v="S1332"/>
    <n v="1332"/>
    <x v="6"/>
    <x v="2"/>
    <x v="1"/>
    <n v="3.32"/>
    <x v="3"/>
    <n v="90.9"/>
    <n v="0.68"/>
    <x v="1"/>
    <n v="2"/>
    <n v="72"/>
    <n v="0.72"/>
    <n v="18"/>
    <n v="0.75"/>
    <x v="0"/>
  </r>
  <r>
    <s v="S1333"/>
    <n v="1333"/>
    <x v="0"/>
    <x v="1"/>
    <x v="2"/>
    <n v="2.02"/>
    <x v="1"/>
    <n v="92.1"/>
    <n v="0.85"/>
    <x v="2"/>
    <n v="32"/>
    <n v="55"/>
    <n v="0.74"/>
    <n v="19"/>
    <n v="0.65"/>
    <x v="0"/>
  </r>
  <r>
    <s v="S1334"/>
    <n v="1334"/>
    <x v="4"/>
    <x v="2"/>
    <x v="0"/>
    <n v="3.89"/>
    <x v="2"/>
    <n v="66.099999999999994"/>
    <n v="0.64"/>
    <x v="0"/>
    <n v="1"/>
    <n v="30"/>
    <n v="0.87"/>
    <n v="6"/>
    <n v="0.55000000000000004"/>
    <x v="0"/>
  </r>
  <r>
    <s v="S1335"/>
    <n v="1335"/>
    <x v="1"/>
    <x v="1"/>
    <x v="0"/>
    <n v="2.4700000000000002"/>
    <x v="3"/>
    <n v="74.7"/>
    <n v="0.76"/>
    <x v="0"/>
    <n v="15"/>
    <n v="41"/>
    <n v="0.88"/>
    <n v="7"/>
    <n v="0.53"/>
    <x v="0"/>
  </r>
  <r>
    <s v="S1336"/>
    <n v="1336"/>
    <x v="6"/>
    <x v="1"/>
    <x v="2"/>
    <n v="2.2200000000000002"/>
    <x v="2"/>
    <n v="74.900000000000006"/>
    <n v="0.89"/>
    <x v="1"/>
    <n v="24"/>
    <n v="17"/>
    <n v="0.57999999999999996"/>
    <n v="12"/>
    <n v="0.67"/>
    <x v="0"/>
  </r>
  <r>
    <s v="S1337"/>
    <n v="1337"/>
    <x v="3"/>
    <x v="2"/>
    <x v="1"/>
    <n v="3.54"/>
    <x v="2"/>
    <n v="66.099999999999994"/>
    <n v="0.86"/>
    <x v="0"/>
    <n v="14"/>
    <n v="25"/>
    <n v="0.8"/>
    <n v="17"/>
    <n v="0.9"/>
    <x v="2"/>
  </r>
  <r>
    <s v="S1338"/>
    <n v="1338"/>
    <x v="6"/>
    <x v="0"/>
    <x v="3"/>
    <n v="3"/>
    <x v="1"/>
    <n v="91.9"/>
    <n v="0.85"/>
    <x v="0"/>
    <n v="23"/>
    <n v="49"/>
    <n v="0.95"/>
    <n v="10"/>
    <n v="0.96"/>
    <x v="2"/>
  </r>
  <r>
    <s v="S1339"/>
    <n v="1339"/>
    <x v="6"/>
    <x v="1"/>
    <x v="1"/>
    <n v="2.87"/>
    <x v="1"/>
    <n v="88.3"/>
    <n v="0.71"/>
    <x v="0"/>
    <n v="14"/>
    <n v="36"/>
    <n v="0.55000000000000004"/>
    <n v="8"/>
    <n v="0.95"/>
    <x v="0"/>
  </r>
  <r>
    <s v="S1340"/>
    <n v="1340"/>
    <x v="6"/>
    <x v="1"/>
    <x v="3"/>
    <n v="2.5"/>
    <x v="0"/>
    <n v="67.599999999999994"/>
    <n v="0.75"/>
    <x v="0"/>
    <n v="30"/>
    <n v="27"/>
    <n v="0.74"/>
    <n v="0"/>
    <n v="0.96"/>
    <x v="1"/>
  </r>
  <r>
    <s v="S1341"/>
    <n v="1341"/>
    <x v="0"/>
    <x v="1"/>
    <x v="0"/>
    <n v="3.09"/>
    <x v="0"/>
    <n v="74.7"/>
    <n v="0.64"/>
    <x v="1"/>
    <n v="13"/>
    <n v="44"/>
    <n v="0.88"/>
    <n v="7"/>
    <n v="0.95"/>
    <x v="0"/>
  </r>
  <r>
    <s v="S1342"/>
    <n v="1342"/>
    <x v="4"/>
    <x v="0"/>
    <x v="1"/>
    <n v="2.5499999999999998"/>
    <x v="0"/>
    <n v="64.2"/>
    <n v="0.89"/>
    <x v="0"/>
    <n v="13"/>
    <n v="61"/>
    <n v="0.81"/>
    <n v="11"/>
    <n v="0.76"/>
    <x v="1"/>
  </r>
  <r>
    <s v="S1343"/>
    <n v="1343"/>
    <x v="0"/>
    <x v="0"/>
    <x v="3"/>
    <n v="3.8"/>
    <x v="3"/>
    <n v="85.1"/>
    <n v="0.8"/>
    <x v="0"/>
    <n v="5"/>
    <n v="24"/>
    <n v="0.55000000000000004"/>
    <n v="1"/>
    <n v="0.61"/>
    <x v="1"/>
  </r>
  <r>
    <s v="S1344"/>
    <n v="1344"/>
    <x v="7"/>
    <x v="2"/>
    <x v="2"/>
    <n v="2.4300000000000002"/>
    <x v="0"/>
    <n v="64.900000000000006"/>
    <n v="0.88"/>
    <x v="0"/>
    <n v="13"/>
    <n v="72"/>
    <n v="0.7"/>
    <n v="14"/>
    <n v="0.9"/>
    <x v="0"/>
  </r>
  <r>
    <s v="S1345"/>
    <n v="1345"/>
    <x v="0"/>
    <x v="0"/>
    <x v="0"/>
    <n v="3.77"/>
    <x v="2"/>
    <n v="99.4"/>
    <n v="0.7"/>
    <x v="2"/>
    <n v="16"/>
    <n v="62"/>
    <n v="0.75"/>
    <n v="17"/>
    <n v="0.61"/>
    <x v="0"/>
  </r>
  <r>
    <s v="S1346"/>
    <n v="1346"/>
    <x v="3"/>
    <x v="2"/>
    <x v="2"/>
    <n v="3.12"/>
    <x v="0"/>
    <n v="91.2"/>
    <n v="0.73"/>
    <x v="1"/>
    <n v="17"/>
    <n v="75"/>
    <n v="1"/>
    <n v="16"/>
    <n v="0.63"/>
    <x v="0"/>
  </r>
  <r>
    <s v="S1347"/>
    <n v="1347"/>
    <x v="3"/>
    <x v="2"/>
    <x v="0"/>
    <n v="3.66"/>
    <x v="1"/>
    <n v="75.599999999999994"/>
    <n v="0.73"/>
    <x v="2"/>
    <n v="19"/>
    <n v="40"/>
    <n v="0.59"/>
    <n v="14"/>
    <n v="0.62"/>
    <x v="0"/>
  </r>
  <r>
    <s v="S1348"/>
    <n v="1348"/>
    <x v="0"/>
    <x v="0"/>
    <x v="1"/>
    <n v="3.43"/>
    <x v="0"/>
    <n v="83.1"/>
    <n v="0.61"/>
    <x v="2"/>
    <n v="16"/>
    <n v="70"/>
    <n v="0.99"/>
    <n v="19"/>
    <n v="0.76"/>
    <x v="0"/>
  </r>
  <r>
    <s v="S1349"/>
    <n v="1349"/>
    <x v="4"/>
    <x v="2"/>
    <x v="1"/>
    <n v="3.39"/>
    <x v="3"/>
    <n v="96.5"/>
    <n v="0.74"/>
    <x v="1"/>
    <n v="15"/>
    <n v="73"/>
    <n v="0.69"/>
    <n v="19"/>
    <n v="0.66"/>
    <x v="0"/>
  </r>
  <r>
    <s v="S1350"/>
    <n v="1350"/>
    <x v="2"/>
    <x v="0"/>
    <x v="0"/>
    <n v="2.65"/>
    <x v="3"/>
    <n v="82.2"/>
    <n v="0.92"/>
    <x v="2"/>
    <n v="39"/>
    <n v="43"/>
    <n v="0.6"/>
    <n v="8"/>
    <n v="0.57999999999999996"/>
    <x v="1"/>
  </r>
  <r>
    <s v="S1351"/>
    <n v="1351"/>
    <x v="1"/>
    <x v="2"/>
    <x v="0"/>
    <n v="2.4700000000000002"/>
    <x v="2"/>
    <n v="67"/>
    <n v="0.96"/>
    <x v="2"/>
    <n v="38"/>
    <n v="64"/>
    <n v="0.71"/>
    <n v="2"/>
    <n v="0.73"/>
    <x v="0"/>
  </r>
  <r>
    <s v="S1352"/>
    <n v="1352"/>
    <x v="4"/>
    <x v="0"/>
    <x v="0"/>
    <n v="2.42"/>
    <x v="3"/>
    <n v="75.099999999999994"/>
    <n v="0.81"/>
    <x v="2"/>
    <n v="31"/>
    <n v="68"/>
    <n v="0.81"/>
    <n v="19"/>
    <n v="0.94"/>
    <x v="0"/>
  </r>
  <r>
    <s v="S1353"/>
    <n v="1353"/>
    <x v="0"/>
    <x v="0"/>
    <x v="1"/>
    <n v="3.71"/>
    <x v="0"/>
    <n v="93.7"/>
    <n v="0.78"/>
    <x v="1"/>
    <n v="8"/>
    <n v="12"/>
    <n v="0.61"/>
    <n v="18"/>
    <n v="0.79"/>
    <x v="1"/>
  </r>
  <r>
    <s v="S1354"/>
    <n v="1354"/>
    <x v="6"/>
    <x v="2"/>
    <x v="3"/>
    <n v="3.64"/>
    <x v="1"/>
    <n v="85.8"/>
    <n v="0.61"/>
    <x v="0"/>
    <n v="26"/>
    <n v="26"/>
    <n v="0.65"/>
    <n v="17"/>
    <n v="0.94"/>
    <x v="0"/>
  </r>
  <r>
    <s v="S1355"/>
    <n v="1355"/>
    <x v="5"/>
    <x v="1"/>
    <x v="2"/>
    <n v="2.88"/>
    <x v="3"/>
    <n v="86"/>
    <n v="0.95"/>
    <x v="1"/>
    <n v="32"/>
    <n v="87"/>
    <n v="0.93"/>
    <n v="19"/>
    <n v="0.6"/>
    <x v="1"/>
  </r>
  <r>
    <s v="S1356"/>
    <n v="1356"/>
    <x v="1"/>
    <x v="2"/>
    <x v="2"/>
    <n v="2.2599999999999998"/>
    <x v="2"/>
    <n v="94.7"/>
    <n v="0.61"/>
    <x v="1"/>
    <n v="9"/>
    <n v="87"/>
    <n v="1"/>
    <n v="7"/>
    <n v="0.57999999999999996"/>
    <x v="0"/>
  </r>
  <r>
    <s v="S1357"/>
    <n v="1357"/>
    <x v="1"/>
    <x v="0"/>
    <x v="1"/>
    <n v="2.76"/>
    <x v="0"/>
    <n v="95.8"/>
    <n v="0.98"/>
    <x v="1"/>
    <n v="16"/>
    <n v="55"/>
    <n v="0.66"/>
    <n v="0"/>
    <n v="0.79"/>
    <x v="1"/>
  </r>
  <r>
    <s v="S1358"/>
    <n v="1358"/>
    <x v="3"/>
    <x v="1"/>
    <x v="2"/>
    <n v="3.24"/>
    <x v="2"/>
    <n v="96.8"/>
    <n v="0.8"/>
    <x v="2"/>
    <n v="35"/>
    <n v="47"/>
    <n v="0.56999999999999995"/>
    <n v="14"/>
    <n v="0.73"/>
    <x v="1"/>
  </r>
  <r>
    <s v="S1359"/>
    <n v="1359"/>
    <x v="1"/>
    <x v="2"/>
    <x v="0"/>
    <n v="2.91"/>
    <x v="3"/>
    <n v="63.8"/>
    <n v="0.74"/>
    <x v="0"/>
    <n v="16"/>
    <n v="44"/>
    <n v="0.9"/>
    <n v="18"/>
    <n v="0.83"/>
    <x v="0"/>
  </r>
  <r>
    <s v="S1360"/>
    <n v="1360"/>
    <x v="0"/>
    <x v="2"/>
    <x v="3"/>
    <n v="3.56"/>
    <x v="3"/>
    <n v="81.8"/>
    <n v="0.97"/>
    <x v="1"/>
    <n v="17"/>
    <n v="10"/>
    <n v="0.8"/>
    <n v="9"/>
    <n v="0.9"/>
    <x v="2"/>
  </r>
  <r>
    <s v="S1361"/>
    <n v="1361"/>
    <x v="6"/>
    <x v="2"/>
    <x v="2"/>
    <n v="4"/>
    <x v="2"/>
    <n v="89.6"/>
    <n v="0.61"/>
    <x v="1"/>
    <n v="22"/>
    <n v="38"/>
    <n v="0.55000000000000004"/>
    <n v="11"/>
    <n v="0.88"/>
    <x v="0"/>
  </r>
  <r>
    <s v="S1362"/>
    <n v="1362"/>
    <x v="6"/>
    <x v="1"/>
    <x v="3"/>
    <n v="2.38"/>
    <x v="0"/>
    <n v="90.3"/>
    <n v="0.83"/>
    <x v="0"/>
    <n v="33"/>
    <n v="13"/>
    <n v="0.97"/>
    <n v="5"/>
    <n v="0.97"/>
    <x v="0"/>
  </r>
  <r>
    <s v="S1363"/>
    <n v="1363"/>
    <x v="7"/>
    <x v="0"/>
    <x v="0"/>
    <n v="2.92"/>
    <x v="3"/>
    <n v="84.3"/>
    <n v="0.82"/>
    <x v="0"/>
    <n v="7"/>
    <n v="70"/>
    <n v="0.54"/>
    <n v="12"/>
    <n v="0.7"/>
    <x v="1"/>
  </r>
  <r>
    <s v="S1364"/>
    <n v="1364"/>
    <x v="6"/>
    <x v="2"/>
    <x v="2"/>
    <n v="2.86"/>
    <x v="1"/>
    <n v="66.7"/>
    <n v="0.69"/>
    <x v="0"/>
    <n v="12"/>
    <n v="26"/>
    <n v="0.81"/>
    <n v="3"/>
    <n v="0.6"/>
    <x v="0"/>
  </r>
  <r>
    <s v="S1365"/>
    <n v="1365"/>
    <x v="4"/>
    <x v="2"/>
    <x v="1"/>
    <n v="2.61"/>
    <x v="3"/>
    <n v="91.9"/>
    <n v="0.77"/>
    <x v="2"/>
    <n v="22"/>
    <n v="37"/>
    <n v="0.71"/>
    <n v="12"/>
    <n v="0.78"/>
    <x v="1"/>
  </r>
  <r>
    <s v="S1366"/>
    <n v="1366"/>
    <x v="6"/>
    <x v="2"/>
    <x v="3"/>
    <n v="2.4"/>
    <x v="0"/>
    <n v="88.8"/>
    <n v="0.86"/>
    <x v="0"/>
    <n v="19"/>
    <n v="59"/>
    <n v="0.78"/>
    <n v="16"/>
    <n v="0.56000000000000005"/>
    <x v="0"/>
  </r>
  <r>
    <s v="S1367"/>
    <n v="1367"/>
    <x v="3"/>
    <x v="2"/>
    <x v="0"/>
    <n v="2.13"/>
    <x v="3"/>
    <n v="63.4"/>
    <n v="0.89"/>
    <x v="2"/>
    <n v="21"/>
    <n v="17"/>
    <n v="0.61"/>
    <n v="0"/>
    <n v="0.64"/>
    <x v="0"/>
  </r>
  <r>
    <s v="S1368"/>
    <n v="1368"/>
    <x v="6"/>
    <x v="2"/>
    <x v="3"/>
    <n v="3.77"/>
    <x v="2"/>
    <n v="78.599999999999994"/>
    <n v="0.6"/>
    <x v="1"/>
    <n v="22"/>
    <n v="43"/>
    <n v="0.84"/>
    <n v="4"/>
    <n v="0.6"/>
    <x v="0"/>
  </r>
  <r>
    <s v="S1369"/>
    <n v="1369"/>
    <x v="7"/>
    <x v="0"/>
    <x v="2"/>
    <n v="2.84"/>
    <x v="3"/>
    <n v="67"/>
    <n v="0.97"/>
    <x v="2"/>
    <n v="34"/>
    <n v="68"/>
    <n v="0.98"/>
    <n v="16"/>
    <n v="0.7"/>
    <x v="1"/>
  </r>
  <r>
    <s v="S1370"/>
    <n v="1370"/>
    <x v="5"/>
    <x v="0"/>
    <x v="2"/>
    <n v="2.99"/>
    <x v="3"/>
    <n v="73.5"/>
    <n v="0.67"/>
    <x v="0"/>
    <n v="2"/>
    <n v="27"/>
    <n v="0.73"/>
    <n v="17"/>
    <n v="0.56000000000000005"/>
    <x v="0"/>
  </r>
  <r>
    <s v="S1371"/>
    <n v="1371"/>
    <x v="0"/>
    <x v="2"/>
    <x v="1"/>
    <n v="3.83"/>
    <x v="0"/>
    <n v="60.7"/>
    <n v="0.69"/>
    <x v="2"/>
    <n v="33"/>
    <n v="68"/>
    <n v="0.76"/>
    <n v="6"/>
    <n v="0.52"/>
    <x v="0"/>
  </r>
  <r>
    <s v="S1372"/>
    <n v="1372"/>
    <x v="3"/>
    <x v="1"/>
    <x v="0"/>
    <n v="3.55"/>
    <x v="2"/>
    <n v="76"/>
    <n v="0.71"/>
    <x v="0"/>
    <n v="32"/>
    <n v="36"/>
    <n v="0.62"/>
    <n v="15"/>
    <n v="0.83"/>
    <x v="0"/>
  </r>
  <r>
    <s v="S1373"/>
    <n v="1373"/>
    <x v="4"/>
    <x v="0"/>
    <x v="0"/>
    <n v="2.2599999999999998"/>
    <x v="0"/>
    <n v="82"/>
    <n v="0.62"/>
    <x v="2"/>
    <n v="16"/>
    <n v="25"/>
    <n v="0.95"/>
    <n v="7"/>
    <n v="0.81"/>
    <x v="0"/>
  </r>
  <r>
    <s v="S1374"/>
    <n v="1374"/>
    <x v="5"/>
    <x v="1"/>
    <x v="1"/>
    <n v="3.13"/>
    <x v="3"/>
    <n v="84.8"/>
    <n v="0.65"/>
    <x v="1"/>
    <n v="18"/>
    <n v="19"/>
    <n v="0.99"/>
    <n v="11"/>
    <n v="0.85"/>
    <x v="0"/>
  </r>
  <r>
    <s v="S1375"/>
    <n v="1375"/>
    <x v="3"/>
    <x v="0"/>
    <x v="1"/>
    <n v="2.88"/>
    <x v="1"/>
    <n v="86.5"/>
    <n v="0.99"/>
    <x v="2"/>
    <n v="29"/>
    <n v="85"/>
    <n v="0.89"/>
    <n v="13"/>
    <n v="0.83"/>
    <x v="1"/>
  </r>
  <r>
    <s v="S1376"/>
    <n v="1376"/>
    <x v="2"/>
    <x v="2"/>
    <x v="0"/>
    <n v="3.59"/>
    <x v="3"/>
    <n v="93.5"/>
    <n v="0.73"/>
    <x v="1"/>
    <n v="22"/>
    <n v="31"/>
    <n v="0.77"/>
    <n v="18"/>
    <n v="0.56000000000000005"/>
    <x v="0"/>
  </r>
  <r>
    <s v="S1377"/>
    <n v="1377"/>
    <x v="1"/>
    <x v="0"/>
    <x v="3"/>
    <n v="3.45"/>
    <x v="0"/>
    <n v="68.599999999999994"/>
    <n v="0.65"/>
    <x v="0"/>
    <n v="14"/>
    <n v="25"/>
    <n v="0.98"/>
    <n v="10"/>
    <n v="0.65"/>
    <x v="0"/>
  </r>
  <r>
    <s v="S1378"/>
    <n v="1378"/>
    <x v="2"/>
    <x v="2"/>
    <x v="3"/>
    <n v="3.38"/>
    <x v="1"/>
    <n v="64.8"/>
    <n v="0.64"/>
    <x v="1"/>
    <n v="13"/>
    <n v="21"/>
    <n v="0.57999999999999996"/>
    <n v="11"/>
    <n v="0.56000000000000005"/>
    <x v="0"/>
  </r>
  <r>
    <s v="S1379"/>
    <n v="1379"/>
    <x v="6"/>
    <x v="0"/>
    <x v="1"/>
    <n v="2.68"/>
    <x v="0"/>
    <n v="94.1"/>
    <n v="0.89"/>
    <x v="0"/>
    <n v="1"/>
    <n v="84"/>
    <n v="0.74"/>
    <n v="12"/>
    <n v="0.92"/>
    <x v="1"/>
  </r>
  <r>
    <s v="S1380"/>
    <n v="1380"/>
    <x v="5"/>
    <x v="2"/>
    <x v="3"/>
    <n v="3.61"/>
    <x v="0"/>
    <n v="66.3"/>
    <n v="0.94"/>
    <x v="0"/>
    <n v="38"/>
    <n v="60"/>
    <n v="0.77"/>
    <n v="7"/>
    <n v="0.87"/>
    <x v="2"/>
  </r>
  <r>
    <s v="S1381"/>
    <n v="1381"/>
    <x v="6"/>
    <x v="2"/>
    <x v="0"/>
    <n v="2.1"/>
    <x v="2"/>
    <n v="99"/>
    <n v="0.7"/>
    <x v="1"/>
    <n v="17"/>
    <n v="10"/>
    <n v="0.75"/>
    <n v="0"/>
    <n v="0.6"/>
    <x v="0"/>
  </r>
  <r>
    <s v="S1382"/>
    <n v="1382"/>
    <x v="1"/>
    <x v="2"/>
    <x v="2"/>
    <n v="2.3199999999999998"/>
    <x v="1"/>
    <n v="93.7"/>
    <n v="0.61"/>
    <x v="1"/>
    <n v="5"/>
    <n v="36"/>
    <n v="0.9"/>
    <n v="8"/>
    <n v="0.67"/>
    <x v="0"/>
  </r>
  <r>
    <s v="S1383"/>
    <n v="1383"/>
    <x v="3"/>
    <x v="2"/>
    <x v="2"/>
    <n v="2.67"/>
    <x v="3"/>
    <n v="80"/>
    <n v="0.69"/>
    <x v="2"/>
    <n v="31"/>
    <n v="76"/>
    <n v="0.84"/>
    <n v="1"/>
    <n v="0.98"/>
    <x v="0"/>
  </r>
  <r>
    <s v="S1384"/>
    <n v="1384"/>
    <x v="1"/>
    <x v="1"/>
    <x v="3"/>
    <n v="2.15"/>
    <x v="0"/>
    <n v="99.3"/>
    <n v="0.62"/>
    <x v="2"/>
    <n v="20"/>
    <n v="21"/>
    <n v="0.56000000000000005"/>
    <n v="13"/>
    <n v="0.8"/>
    <x v="0"/>
  </r>
  <r>
    <s v="S1385"/>
    <n v="1385"/>
    <x v="7"/>
    <x v="2"/>
    <x v="1"/>
    <n v="2.4700000000000002"/>
    <x v="3"/>
    <n v="63.9"/>
    <n v="0.64"/>
    <x v="1"/>
    <n v="39"/>
    <n v="39"/>
    <n v="0.67"/>
    <n v="12"/>
    <n v="0.9"/>
    <x v="0"/>
  </r>
  <r>
    <s v="S1386"/>
    <n v="1386"/>
    <x v="1"/>
    <x v="1"/>
    <x v="1"/>
    <n v="3.66"/>
    <x v="2"/>
    <n v="72.099999999999994"/>
    <n v="0.77"/>
    <x v="1"/>
    <n v="27"/>
    <n v="18"/>
    <n v="0.67"/>
    <n v="15"/>
    <n v="0.63"/>
    <x v="1"/>
  </r>
  <r>
    <s v="S1387"/>
    <n v="1387"/>
    <x v="7"/>
    <x v="1"/>
    <x v="1"/>
    <n v="3.9"/>
    <x v="2"/>
    <n v="85.5"/>
    <n v="0.69"/>
    <x v="1"/>
    <n v="26"/>
    <n v="62"/>
    <n v="0.78"/>
    <n v="1"/>
    <n v="0.61"/>
    <x v="0"/>
  </r>
  <r>
    <s v="S1388"/>
    <n v="1388"/>
    <x v="1"/>
    <x v="2"/>
    <x v="1"/>
    <n v="2.61"/>
    <x v="1"/>
    <n v="74"/>
    <n v="0.81"/>
    <x v="1"/>
    <n v="1"/>
    <n v="70"/>
    <n v="0.65"/>
    <n v="3"/>
    <n v="0.89"/>
    <x v="1"/>
  </r>
  <r>
    <s v="S1389"/>
    <n v="1389"/>
    <x v="0"/>
    <x v="1"/>
    <x v="1"/>
    <n v="2.5299999999999998"/>
    <x v="2"/>
    <n v="97.1"/>
    <n v="0.7"/>
    <x v="0"/>
    <n v="32"/>
    <n v="63"/>
    <n v="0.56000000000000005"/>
    <n v="11"/>
    <n v="0.84"/>
    <x v="0"/>
  </r>
  <r>
    <s v="S1390"/>
    <n v="1390"/>
    <x v="7"/>
    <x v="0"/>
    <x v="3"/>
    <n v="2.56"/>
    <x v="2"/>
    <n v="62.6"/>
    <n v="0.98"/>
    <x v="1"/>
    <n v="15"/>
    <n v="46"/>
    <n v="0.83"/>
    <n v="15"/>
    <n v="0.84"/>
    <x v="1"/>
  </r>
  <r>
    <s v="S1391"/>
    <n v="1391"/>
    <x v="5"/>
    <x v="2"/>
    <x v="2"/>
    <n v="2.56"/>
    <x v="3"/>
    <n v="82"/>
    <n v="0.96"/>
    <x v="1"/>
    <n v="38"/>
    <n v="74"/>
    <n v="0.93"/>
    <n v="9"/>
    <n v="0.78"/>
    <x v="1"/>
  </r>
  <r>
    <s v="S1392"/>
    <n v="1392"/>
    <x v="6"/>
    <x v="1"/>
    <x v="2"/>
    <n v="2.0699999999999998"/>
    <x v="2"/>
    <n v="83.6"/>
    <n v="0.83"/>
    <x v="1"/>
    <n v="21"/>
    <n v="51"/>
    <n v="0.97"/>
    <n v="2"/>
    <n v="0.78"/>
    <x v="0"/>
  </r>
  <r>
    <s v="S1393"/>
    <n v="1393"/>
    <x v="4"/>
    <x v="2"/>
    <x v="3"/>
    <n v="3.85"/>
    <x v="2"/>
    <n v="86.1"/>
    <n v="0.74"/>
    <x v="1"/>
    <n v="12"/>
    <n v="58"/>
    <n v="0.99"/>
    <n v="3"/>
    <n v="0.87"/>
    <x v="0"/>
  </r>
  <r>
    <s v="S1394"/>
    <n v="1394"/>
    <x v="6"/>
    <x v="2"/>
    <x v="1"/>
    <n v="2.4300000000000002"/>
    <x v="0"/>
    <n v="70.2"/>
    <n v="0.75"/>
    <x v="0"/>
    <n v="1"/>
    <n v="13"/>
    <n v="0.89"/>
    <n v="5"/>
    <n v="0.64"/>
    <x v="0"/>
  </r>
  <r>
    <s v="S1395"/>
    <n v="1395"/>
    <x v="2"/>
    <x v="2"/>
    <x v="3"/>
    <n v="2.84"/>
    <x v="2"/>
    <n v="74.599999999999994"/>
    <n v="0.76"/>
    <x v="2"/>
    <n v="13"/>
    <n v="73"/>
    <n v="0.56999999999999995"/>
    <n v="4"/>
    <n v="0.68"/>
    <x v="1"/>
  </r>
  <r>
    <s v="S1396"/>
    <n v="1396"/>
    <x v="6"/>
    <x v="1"/>
    <x v="2"/>
    <n v="2.02"/>
    <x v="0"/>
    <n v="93.7"/>
    <n v="0.89"/>
    <x v="2"/>
    <n v="37"/>
    <n v="88"/>
    <n v="0.93"/>
    <n v="17"/>
    <n v="0.94"/>
    <x v="0"/>
  </r>
  <r>
    <s v="S1397"/>
    <n v="1397"/>
    <x v="3"/>
    <x v="0"/>
    <x v="0"/>
    <n v="3.72"/>
    <x v="2"/>
    <n v="67.8"/>
    <n v="0.78"/>
    <x v="2"/>
    <n v="27"/>
    <n v="60"/>
    <n v="0.7"/>
    <n v="2"/>
    <n v="0.65"/>
    <x v="1"/>
  </r>
  <r>
    <s v="S1398"/>
    <n v="1398"/>
    <x v="0"/>
    <x v="0"/>
    <x v="3"/>
    <n v="3.46"/>
    <x v="2"/>
    <n v="93.1"/>
    <n v="0.94"/>
    <x v="2"/>
    <n v="6"/>
    <n v="81"/>
    <n v="0.86"/>
    <n v="9"/>
    <n v="0.77"/>
    <x v="2"/>
  </r>
  <r>
    <s v="S1399"/>
    <n v="1399"/>
    <x v="1"/>
    <x v="1"/>
    <x v="1"/>
    <n v="3.89"/>
    <x v="1"/>
    <n v="82.5"/>
    <n v="0.98"/>
    <x v="2"/>
    <n v="17"/>
    <n v="69"/>
    <n v="0.77"/>
    <n v="10"/>
    <n v="0.85"/>
    <x v="2"/>
  </r>
  <r>
    <s v="S1400"/>
    <n v="1400"/>
    <x v="2"/>
    <x v="2"/>
    <x v="2"/>
    <n v="3.56"/>
    <x v="1"/>
    <n v="90.5"/>
    <n v="0.73"/>
    <x v="0"/>
    <n v="35"/>
    <n v="88"/>
    <n v="0.91"/>
    <n v="18"/>
    <n v="1"/>
    <x v="0"/>
  </r>
  <r>
    <s v="S1401"/>
    <n v="1401"/>
    <x v="3"/>
    <x v="1"/>
    <x v="2"/>
    <n v="2.63"/>
    <x v="0"/>
    <n v="88.5"/>
    <n v="0.82"/>
    <x v="2"/>
    <n v="35"/>
    <n v="40"/>
    <n v="0.71"/>
    <n v="13"/>
    <n v="0.72"/>
    <x v="1"/>
  </r>
  <r>
    <s v="S1402"/>
    <n v="1402"/>
    <x v="3"/>
    <x v="1"/>
    <x v="2"/>
    <n v="2.5"/>
    <x v="2"/>
    <n v="68.3"/>
    <n v="0.64"/>
    <x v="0"/>
    <n v="3"/>
    <n v="81"/>
    <n v="0.53"/>
    <n v="10"/>
    <n v="0.71"/>
    <x v="0"/>
  </r>
  <r>
    <s v="S1403"/>
    <n v="1403"/>
    <x v="7"/>
    <x v="1"/>
    <x v="2"/>
    <n v="3.4"/>
    <x v="3"/>
    <n v="82.8"/>
    <n v="0.68"/>
    <x v="0"/>
    <n v="29"/>
    <n v="67"/>
    <n v="0.78"/>
    <n v="3"/>
    <n v="0.92"/>
    <x v="0"/>
  </r>
  <r>
    <s v="S1404"/>
    <n v="1404"/>
    <x v="6"/>
    <x v="2"/>
    <x v="1"/>
    <n v="2.73"/>
    <x v="1"/>
    <n v="94.7"/>
    <n v="0.77"/>
    <x v="2"/>
    <n v="23"/>
    <n v="13"/>
    <n v="0.59"/>
    <n v="5"/>
    <n v="0.9"/>
    <x v="1"/>
  </r>
  <r>
    <s v="S1405"/>
    <n v="1405"/>
    <x v="5"/>
    <x v="1"/>
    <x v="0"/>
    <n v="3.13"/>
    <x v="3"/>
    <n v="77.3"/>
    <n v="0.68"/>
    <x v="2"/>
    <n v="19"/>
    <n v="31"/>
    <n v="0.98"/>
    <n v="16"/>
    <n v="0.87"/>
    <x v="0"/>
  </r>
  <r>
    <s v="S1406"/>
    <n v="1406"/>
    <x v="4"/>
    <x v="2"/>
    <x v="2"/>
    <n v="2.0099999999999998"/>
    <x v="1"/>
    <n v="98.7"/>
    <n v="0.95"/>
    <x v="2"/>
    <n v="30"/>
    <n v="12"/>
    <n v="0.76"/>
    <n v="18"/>
    <n v="0.73"/>
    <x v="0"/>
  </r>
  <r>
    <s v="S1407"/>
    <n v="1407"/>
    <x v="5"/>
    <x v="1"/>
    <x v="3"/>
    <n v="2.12"/>
    <x v="1"/>
    <n v="78.099999999999994"/>
    <n v="0.66"/>
    <x v="1"/>
    <n v="23"/>
    <n v="88"/>
    <n v="0.78"/>
    <n v="12"/>
    <n v="0.66"/>
    <x v="0"/>
  </r>
  <r>
    <s v="S1408"/>
    <n v="1408"/>
    <x v="2"/>
    <x v="0"/>
    <x v="0"/>
    <n v="3.07"/>
    <x v="2"/>
    <n v="65.7"/>
    <n v="0.78"/>
    <x v="0"/>
    <n v="6"/>
    <n v="56"/>
    <n v="0.95"/>
    <n v="9"/>
    <n v="0.8"/>
    <x v="1"/>
  </r>
  <r>
    <s v="S1409"/>
    <n v="1409"/>
    <x v="0"/>
    <x v="1"/>
    <x v="2"/>
    <n v="3.13"/>
    <x v="1"/>
    <n v="75.599999999999994"/>
    <n v="0.84"/>
    <x v="2"/>
    <n v="25"/>
    <n v="47"/>
    <n v="0.81"/>
    <n v="10"/>
    <n v="0.94"/>
    <x v="1"/>
  </r>
  <r>
    <s v="S1410"/>
    <n v="1410"/>
    <x v="5"/>
    <x v="1"/>
    <x v="0"/>
    <n v="3.5"/>
    <x v="3"/>
    <n v="98.1"/>
    <n v="0.88"/>
    <x v="1"/>
    <n v="12"/>
    <n v="42"/>
    <n v="0.65"/>
    <n v="5"/>
    <n v="0.94"/>
    <x v="2"/>
  </r>
  <r>
    <s v="S1411"/>
    <n v="1411"/>
    <x v="1"/>
    <x v="0"/>
    <x v="3"/>
    <n v="2.2599999999999998"/>
    <x v="1"/>
    <n v="72.8"/>
    <n v="0.75"/>
    <x v="0"/>
    <n v="7"/>
    <n v="87"/>
    <n v="0.65"/>
    <n v="1"/>
    <n v="0.55000000000000004"/>
    <x v="0"/>
  </r>
  <r>
    <s v="S1412"/>
    <n v="1412"/>
    <x v="5"/>
    <x v="2"/>
    <x v="2"/>
    <n v="3.03"/>
    <x v="0"/>
    <n v="94.7"/>
    <n v="0.95"/>
    <x v="1"/>
    <n v="4"/>
    <n v="57"/>
    <n v="0.75"/>
    <n v="0"/>
    <n v="0.71"/>
    <x v="2"/>
  </r>
  <r>
    <s v="S1413"/>
    <n v="1413"/>
    <x v="2"/>
    <x v="2"/>
    <x v="3"/>
    <n v="2.39"/>
    <x v="2"/>
    <n v="95.3"/>
    <n v="0.83"/>
    <x v="1"/>
    <n v="12"/>
    <n v="74"/>
    <n v="0.93"/>
    <n v="10"/>
    <n v="0.73"/>
    <x v="0"/>
  </r>
  <r>
    <s v="S1414"/>
    <n v="1414"/>
    <x v="4"/>
    <x v="1"/>
    <x v="1"/>
    <n v="2.19"/>
    <x v="2"/>
    <n v="74"/>
    <n v="0.78"/>
    <x v="2"/>
    <n v="28"/>
    <n v="35"/>
    <n v="0.9"/>
    <n v="15"/>
    <n v="0.99"/>
    <x v="0"/>
  </r>
  <r>
    <s v="S1415"/>
    <n v="1415"/>
    <x v="5"/>
    <x v="0"/>
    <x v="2"/>
    <n v="2.82"/>
    <x v="0"/>
    <n v="63.3"/>
    <n v="0.63"/>
    <x v="0"/>
    <n v="19"/>
    <n v="17"/>
    <n v="0.98"/>
    <n v="2"/>
    <n v="0.84"/>
    <x v="0"/>
  </r>
  <r>
    <s v="S1416"/>
    <n v="1416"/>
    <x v="1"/>
    <x v="2"/>
    <x v="2"/>
    <n v="2.33"/>
    <x v="0"/>
    <n v="89"/>
    <n v="0.79"/>
    <x v="1"/>
    <n v="13"/>
    <n v="59"/>
    <n v="0.54"/>
    <n v="4"/>
    <n v="0.7"/>
    <x v="0"/>
  </r>
  <r>
    <s v="S1417"/>
    <n v="1417"/>
    <x v="7"/>
    <x v="1"/>
    <x v="2"/>
    <n v="2.44"/>
    <x v="0"/>
    <n v="72.5"/>
    <n v="0.93"/>
    <x v="0"/>
    <n v="31"/>
    <n v="89"/>
    <n v="0.63"/>
    <n v="14"/>
    <n v="0.51"/>
    <x v="0"/>
  </r>
  <r>
    <s v="S1418"/>
    <n v="1418"/>
    <x v="0"/>
    <x v="0"/>
    <x v="2"/>
    <n v="2.64"/>
    <x v="1"/>
    <n v="91.3"/>
    <n v="0.85"/>
    <x v="2"/>
    <n v="26"/>
    <n v="47"/>
    <n v="0.54"/>
    <n v="14"/>
    <n v="0.78"/>
    <x v="1"/>
  </r>
  <r>
    <s v="S1419"/>
    <n v="1419"/>
    <x v="2"/>
    <x v="2"/>
    <x v="1"/>
    <n v="2.52"/>
    <x v="2"/>
    <n v="77.7"/>
    <n v="0.93"/>
    <x v="0"/>
    <n v="24"/>
    <n v="19"/>
    <n v="0.88"/>
    <n v="3"/>
    <n v="0.55000000000000004"/>
    <x v="1"/>
  </r>
  <r>
    <s v="S1420"/>
    <n v="1420"/>
    <x v="7"/>
    <x v="2"/>
    <x v="2"/>
    <n v="2.1800000000000002"/>
    <x v="0"/>
    <n v="79.400000000000006"/>
    <n v="0.8"/>
    <x v="1"/>
    <n v="3"/>
    <n v="51"/>
    <n v="0.56999999999999995"/>
    <n v="3"/>
    <n v="0.92"/>
    <x v="0"/>
  </r>
  <r>
    <s v="S1421"/>
    <n v="1421"/>
    <x v="7"/>
    <x v="0"/>
    <x v="0"/>
    <n v="2.1800000000000002"/>
    <x v="1"/>
    <n v="91.1"/>
    <n v="0.65"/>
    <x v="1"/>
    <n v="20"/>
    <n v="46"/>
    <n v="0.55000000000000004"/>
    <n v="7"/>
    <n v="0.88"/>
    <x v="0"/>
  </r>
  <r>
    <s v="S1422"/>
    <n v="1422"/>
    <x v="7"/>
    <x v="0"/>
    <x v="2"/>
    <n v="2.39"/>
    <x v="0"/>
    <n v="75.3"/>
    <n v="0.61"/>
    <x v="0"/>
    <n v="17"/>
    <n v="35"/>
    <n v="0.78"/>
    <n v="6"/>
    <n v="0.73"/>
    <x v="0"/>
  </r>
  <r>
    <s v="S1423"/>
    <n v="1423"/>
    <x v="3"/>
    <x v="0"/>
    <x v="1"/>
    <n v="2.1"/>
    <x v="3"/>
    <n v="77.7"/>
    <n v="0.72"/>
    <x v="1"/>
    <n v="38"/>
    <n v="21"/>
    <n v="0.71"/>
    <n v="16"/>
    <n v="0.71"/>
    <x v="0"/>
  </r>
  <r>
    <s v="S1424"/>
    <n v="1424"/>
    <x v="0"/>
    <x v="0"/>
    <x v="2"/>
    <n v="3.25"/>
    <x v="3"/>
    <n v="75"/>
    <n v="0.88"/>
    <x v="1"/>
    <n v="14"/>
    <n v="58"/>
    <n v="0.86"/>
    <n v="14"/>
    <n v="0.95"/>
    <x v="2"/>
  </r>
  <r>
    <s v="S1425"/>
    <n v="1425"/>
    <x v="4"/>
    <x v="1"/>
    <x v="0"/>
    <n v="2.57"/>
    <x v="2"/>
    <n v="74.7"/>
    <n v="0.92"/>
    <x v="1"/>
    <n v="37"/>
    <n v="23"/>
    <n v="0.74"/>
    <n v="4"/>
    <n v="0.64"/>
    <x v="1"/>
  </r>
  <r>
    <s v="S1426"/>
    <n v="1426"/>
    <x v="6"/>
    <x v="0"/>
    <x v="1"/>
    <n v="2.56"/>
    <x v="1"/>
    <n v="81"/>
    <n v="0.72"/>
    <x v="2"/>
    <n v="23"/>
    <n v="55"/>
    <n v="0.71"/>
    <n v="12"/>
    <n v="0.62"/>
    <x v="0"/>
  </r>
  <r>
    <s v="S1427"/>
    <n v="1427"/>
    <x v="0"/>
    <x v="2"/>
    <x v="1"/>
    <n v="2.66"/>
    <x v="3"/>
    <n v="92.4"/>
    <n v="0.8"/>
    <x v="2"/>
    <n v="7"/>
    <n v="44"/>
    <n v="0.71"/>
    <n v="3"/>
    <n v="0.97"/>
    <x v="1"/>
  </r>
  <r>
    <s v="S1428"/>
    <n v="1428"/>
    <x v="3"/>
    <x v="2"/>
    <x v="0"/>
    <n v="3.33"/>
    <x v="3"/>
    <n v="74.5"/>
    <n v="0.77"/>
    <x v="1"/>
    <n v="27"/>
    <n v="38"/>
    <n v="0.94"/>
    <n v="16"/>
    <n v="0.9"/>
    <x v="1"/>
  </r>
  <r>
    <s v="S1429"/>
    <n v="1429"/>
    <x v="6"/>
    <x v="1"/>
    <x v="0"/>
    <n v="3.74"/>
    <x v="1"/>
    <n v="81"/>
    <n v="0.76"/>
    <x v="0"/>
    <n v="20"/>
    <n v="21"/>
    <n v="0.7"/>
    <n v="16"/>
    <n v="0.91"/>
    <x v="1"/>
  </r>
  <r>
    <s v="S1430"/>
    <n v="1430"/>
    <x v="0"/>
    <x v="2"/>
    <x v="0"/>
    <n v="3.52"/>
    <x v="0"/>
    <n v="86.8"/>
    <n v="0.69"/>
    <x v="2"/>
    <n v="15"/>
    <n v="53"/>
    <n v="0.67"/>
    <n v="13"/>
    <n v="0.6"/>
    <x v="0"/>
  </r>
  <r>
    <s v="S1431"/>
    <n v="1431"/>
    <x v="7"/>
    <x v="2"/>
    <x v="0"/>
    <n v="3.46"/>
    <x v="1"/>
    <n v="70.8"/>
    <n v="0.65"/>
    <x v="0"/>
    <n v="15"/>
    <n v="75"/>
    <n v="0.67"/>
    <n v="13"/>
    <n v="0.56999999999999995"/>
    <x v="0"/>
  </r>
  <r>
    <s v="S1432"/>
    <n v="1432"/>
    <x v="2"/>
    <x v="0"/>
    <x v="0"/>
    <n v="2.97"/>
    <x v="0"/>
    <n v="71.099999999999994"/>
    <n v="0.68"/>
    <x v="1"/>
    <n v="34"/>
    <n v="11"/>
    <n v="0.6"/>
    <n v="16"/>
    <n v="0.51"/>
    <x v="0"/>
  </r>
  <r>
    <s v="S1433"/>
    <n v="1433"/>
    <x v="6"/>
    <x v="2"/>
    <x v="1"/>
    <n v="3.39"/>
    <x v="3"/>
    <n v="97.3"/>
    <n v="0.62"/>
    <x v="1"/>
    <n v="16"/>
    <n v="68"/>
    <n v="0.93"/>
    <n v="7"/>
    <n v="0.62"/>
    <x v="0"/>
  </r>
  <r>
    <s v="S1434"/>
    <n v="1434"/>
    <x v="1"/>
    <x v="1"/>
    <x v="1"/>
    <n v="3.11"/>
    <x v="3"/>
    <n v="88.9"/>
    <n v="0.68"/>
    <x v="0"/>
    <n v="8"/>
    <n v="26"/>
    <n v="0.56999999999999995"/>
    <n v="1"/>
    <n v="0.89"/>
    <x v="0"/>
  </r>
  <r>
    <s v="S1435"/>
    <n v="1435"/>
    <x v="1"/>
    <x v="0"/>
    <x v="2"/>
    <n v="2.4300000000000002"/>
    <x v="3"/>
    <n v="83.1"/>
    <n v="0.6"/>
    <x v="2"/>
    <n v="34"/>
    <n v="19"/>
    <n v="0.95"/>
    <n v="12"/>
    <n v="0.62"/>
    <x v="0"/>
  </r>
  <r>
    <s v="S1436"/>
    <n v="1436"/>
    <x v="5"/>
    <x v="0"/>
    <x v="2"/>
    <n v="2.42"/>
    <x v="2"/>
    <n v="85.9"/>
    <n v="0.85"/>
    <x v="0"/>
    <n v="28"/>
    <n v="27"/>
    <n v="0.64"/>
    <n v="15"/>
    <n v="0.86"/>
    <x v="0"/>
  </r>
  <r>
    <s v="S1437"/>
    <n v="1437"/>
    <x v="6"/>
    <x v="1"/>
    <x v="3"/>
    <n v="2.59"/>
    <x v="2"/>
    <n v="61.2"/>
    <n v="0.73"/>
    <x v="0"/>
    <n v="38"/>
    <n v="31"/>
    <n v="0.95"/>
    <n v="15"/>
    <n v="0.63"/>
    <x v="0"/>
  </r>
  <r>
    <s v="S1438"/>
    <n v="1438"/>
    <x v="2"/>
    <x v="0"/>
    <x v="2"/>
    <n v="3.82"/>
    <x v="2"/>
    <n v="84.7"/>
    <n v="0.99"/>
    <x v="1"/>
    <n v="17"/>
    <n v="67"/>
    <n v="0.9"/>
    <n v="5"/>
    <n v="0.7"/>
    <x v="2"/>
  </r>
  <r>
    <s v="S1439"/>
    <n v="1439"/>
    <x v="4"/>
    <x v="0"/>
    <x v="2"/>
    <n v="3.09"/>
    <x v="1"/>
    <n v="80.400000000000006"/>
    <n v="0.68"/>
    <x v="2"/>
    <n v="11"/>
    <n v="62"/>
    <n v="0.79"/>
    <n v="3"/>
    <n v="0.99"/>
    <x v="0"/>
  </r>
  <r>
    <s v="S1440"/>
    <n v="1440"/>
    <x v="3"/>
    <x v="1"/>
    <x v="0"/>
    <n v="3.47"/>
    <x v="3"/>
    <n v="81.8"/>
    <n v="0.74"/>
    <x v="0"/>
    <n v="18"/>
    <n v="10"/>
    <n v="0.83"/>
    <n v="2"/>
    <n v="0.62"/>
    <x v="0"/>
  </r>
  <r>
    <s v="S1441"/>
    <n v="1441"/>
    <x v="7"/>
    <x v="0"/>
    <x v="0"/>
    <n v="2.69"/>
    <x v="3"/>
    <n v="74.400000000000006"/>
    <n v="0.74"/>
    <x v="2"/>
    <n v="21"/>
    <n v="70"/>
    <n v="0.66"/>
    <n v="5"/>
    <n v="0.69"/>
    <x v="0"/>
  </r>
  <r>
    <s v="S1442"/>
    <n v="1442"/>
    <x v="5"/>
    <x v="1"/>
    <x v="2"/>
    <n v="2.82"/>
    <x v="1"/>
    <n v="63.3"/>
    <n v="0.6"/>
    <x v="1"/>
    <n v="14"/>
    <n v="40"/>
    <n v="0.79"/>
    <n v="3"/>
    <n v="0.65"/>
    <x v="0"/>
  </r>
  <r>
    <s v="S1443"/>
    <n v="1443"/>
    <x v="1"/>
    <x v="1"/>
    <x v="3"/>
    <n v="2.25"/>
    <x v="2"/>
    <n v="67.7"/>
    <n v="0.94"/>
    <x v="2"/>
    <n v="0"/>
    <n v="40"/>
    <n v="0.65"/>
    <n v="17"/>
    <n v="0.55000000000000004"/>
    <x v="0"/>
  </r>
  <r>
    <s v="S1444"/>
    <n v="1444"/>
    <x v="3"/>
    <x v="2"/>
    <x v="0"/>
    <n v="2.34"/>
    <x v="1"/>
    <n v="98"/>
    <n v="0.61"/>
    <x v="1"/>
    <n v="1"/>
    <n v="75"/>
    <n v="0.7"/>
    <n v="5"/>
    <n v="0.74"/>
    <x v="0"/>
  </r>
  <r>
    <s v="S1445"/>
    <n v="1445"/>
    <x v="3"/>
    <x v="2"/>
    <x v="2"/>
    <n v="3.65"/>
    <x v="2"/>
    <n v="76.3"/>
    <n v="0.98"/>
    <x v="2"/>
    <n v="7"/>
    <n v="28"/>
    <n v="0.88"/>
    <n v="4"/>
    <n v="0.69"/>
    <x v="2"/>
  </r>
  <r>
    <s v="S1446"/>
    <n v="1446"/>
    <x v="7"/>
    <x v="0"/>
    <x v="2"/>
    <n v="3.17"/>
    <x v="3"/>
    <n v="78.7"/>
    <n v="0.96"/>
    <x v="0"/>
    <n v="21"/>
    <n v="62"/>
    <n v="0.62"/>
    <n v="8"/>
    <n v="0.85"/>
    <x v="2"/>
  </r>
  <r>
    <s v="S1447"/>
    <n v="1447"/>
    <x v="4"/>
    <x v="0"/>
    <x v="1"/>
    <n v="2.68"/>
    <x v="0"/>
    <n v="62.1"/>
    <n v="0.81"/>
    <x v="1"/>
    <n v="24"/>
    <n v="85"/>
    <n v="0.92"/>
    <n v="10"/>
    <n v="0.91"/>
    <x v="1"/>
  </r>
  <r>
    <s v="S1448"/>
    <n v="1448"/>
    <x v="4"/>
    <x v="1"/>
    <x v="3"/>
    <n v="3.61"/>
    <x v="2"/>
    <n v="61.5"/>
    <n v="0.82"/>
    <x v="0"/>
    <n v="1"/>
    <n v="83"/>
    <n v="0.69"/>
    <n v="5"/>
    <n v="0.77"/>
    <x v="1"/>
  </r>
  <r>
    <s v="S1449"/>
    <n v="1449"/>
    <x v="6"/>
    <x v="0"/>
    <x v="1"/>
    <n v="2.4900000000000002"/>
    <x v="3"/>
    <n v="88.7"/>
    <n v="0.86"/>
    <x v="1"/>
    <n v="8"/>
    <n v="31"/>
    <n v="0.77"/>
    <n v="15"/>
    <n v="0.52"/>
    <x v="0"/>
  </r>
  <r>
    <s v="S1450"/>
    <n v="1450"/>
    <x v="1"/>
    <x v="1"/>
    <x v="3"/>
    <n v="3.95"/>
    <x v="3"/>
    <n v="81.5"/>
    <n v="0.75"/>
    <x v="2"/>
    <n v="8"/>
    <n v="32"/>
    <n v="0.97"/>
    <n v="18"/>
    <n v="0.81"/>
    <x v="1"/>
  </r>
  <r>
    <s v="S1451"/>
    <n v="1451"/>
    <x v="4"/>
    <x v="1"/>
    <x v="0"/>
    <n v="2.69"/>
    <x v="0"/>
    <n v="80.3"/>
    <n v="0.86"/>
    <x v="2"/>
    <n v="12"/>
    <n v="24"/>
    <n v="0.84"/>
    <n v="10"/>
    <n v="0.53"/>
    <x v="1"/>
  </r>
  <r>
    <s v="S1452"/>
    <n v="1452"/>
    <x v="2"/>
    <x v="0"/>
    <x v="3"/>
    <n v="2.67"/>
    <x v="3"/>
    <n v="69.7"/>
    <n v="0.62"/>
    <x v="1"/>
    <n v="5"/>
    <n v="35"/>
    <n v="0.82"/>
    <n v="14"/>
    <n v="0.81"/>
    <x v="0"/>
  </r>
  <r>
    <s v="S1453"/>
    <n v="1453"/>
    <x v="4"/>
    <x v="1"/>
    <x v="2"/>
    <n v="2.62"/>
    <x v="3"/>
    <n v="89.8"/>
    <n v="0.62"/>
    <x v="1"/>
    <n v="29"/>
    <n v="12"/>
    <n v="0.86"/>
    <n v="8"/>
    <n v="0.84"/>
    <x v="0"/>
  </r>
  <r>
    <s v="S1454"/>
    <n v="1454"/>
    <x v="3"/>
    <x v="2"/>
    <x v="2"/>
    <n v="2.2400000000000002"/>
    <x v="2"/>
    <n v="66.7"/>
    <n v="0.78"/>
    <x v="1"/>
    <n v="14"/>
    <n v="29"/>
    <n v="0.96"/>
    <n v="18"/>
    <n v="0.6"/>
    <x v="0"/>
  </r>
  <r>
    <s v="S1455"/>
    <n v="1455"/>
    <x v="7"/>
    <x v="0"/>
    <x v="3"/>
    <n v="2.2200000000000002"/>
    <x v="2"/>
    <n v="67.599999999999994"/>
    <n v="0.82"/>
    <x v="2"/>
    <n v="14"/>
    <n v="49"/>
    <n v="0.62"/>
    <n v="18"/>
    <n v="0.91"/>
    <x v="0"/>
  </r>
  <r>
    <s v="S1456"/>
    <n v="1456"/>
    <x v="2"/>
    <x v="2"/>
    <x v="3"/>
    <n v="3.3"/>
    <x v="0"/>
    <n v="78.400000000000006"/>
    <n v="0.96"/>
    <x v="1"/>
    <n v="6"/>
    <n v="48"/>
    <n v="0.81"/>
    <n v="8"/>
    <n v="0.96"/>
    <x v="2"/>
  </r>
  <r>
    <s v="S1457"/>
    <n v="1457"/>
    <x v="6"/>
    <x v="0"/>
    <x v="3"/>
    <n v="3.75"/>
    <x v="0"/>
    <n v="71.5"/>
    <n v="0.64"/>
    <x v="1"/>
    <n v="10"/>
    <n v="81"/>
    <n v="0.7"/>
    <n v="3"/>
    <n v="0.91"/>
    <x v="0"/>
  </r>
  <r>
    <s v="S1458"/>
    <n v="1458"/>
    <x v="1"/>
    <x v="1"/>
    <x v="1"/>
    <n v="3.58"/>
    <x v="3"/>
    <n v="69.900000000000006"/>
    <n v="0.93"/>
    <x v="0"/>
    <n v="39"/>
    <n v="27"/>
    <n v="0.51"/>
    <n v="9"/>
    <n v="0.65"/>
    <x v="2"/>
  </r>
  <r>
    <s v="S1459"/>
    <n v="1459"/>
    <x v="6"/>
    <x v="0"/>
    <x v="3"/>
    <n v="2.2799999999999998"/>
    <x v="2"/>
    <n v="85.8"/>
    <n v="0.68"/>
    <x v="1"/>
    <n v="37"/>
    <n v="50"/>
    <n v="0.56000000000000005"/>
    <n v="8"/>
    <n v="0.79"/>
    <x v="0"/>
  </r>
  <r>
    <s v="S1460"/>
    <n v="1460"/>
    <x v="3"/>
    <x v="2"/>
    <x v="0"/>
    <n v="3.09"/>
    <x v="0"/>
    <n v="86"/>
    <n v="0.76"/>
    <x v="0"/>
    <n v="39"/>
    <n v="79"/>
    <n v="0.66"/>
    <n v="18"/>
    <n v="0.96"/>
    <x v="1"/>
  </r>
  <r>
    <s v="S1461"/>
    <n v="1461"/>
    <x v="2"/>
    <x v="1"/>
    <x v="1"/>
    <n v="2.21"/>
    <x v="0"/>
    <n v="93"/>
    <n v="0.73"/>
    <x v="0"/>
    <n v="1"/>
    <n v="36"/>
    <n v="0.78"/>
    <n v="14"/>
    <n v="0.66"/>
    <x v="0"/>
  </r>
  <r>
    <s v="S1462"/>
    <n v="1462"/>
    <x v="2"/>
    <x v="0"/>
    <x v="1"/>
    <n v="2.09"/>
    <x v="1"/>
    <n v="76.7"/>
    <n v="0.76"/>
    <x v="0"/>
    <n v="38"/>
    <n v="24"/>
    <n v="0.94"/>
    <n v="18"/>
    <n v="0.91"/>
    <x v="0"/>
  </r>
  <r>
    <s v="S1463"/>
    <n v="1463"/>
    <x v="2"/>
    <x v="0"/>
    <x v="3"/>
    <n v="3.31"/>
    <x v="0"/>
    <n v="62.9"/>
    <n v="0.66"/>
    <x v="2"/>
    <n v="9"/>
    <n v="46"/>
    <n v="0.9"/>
    <n v="1"/>
    <n v="0.5"/>
    <x v="0"/>
  </r>
  <r>
    <s v="S1464"/>
    <n v="1464"/>
    <x v="3"/>
    <x v="0"/>
    <x v="0"/>
    <n v="3.07"/>
    <x v="3"/>
    <n v="70.900000000000006"/>
    <n v="0.8"/>
    <x v="0"/>
    <n v="16"/>
    <n v="67"/>
    <n v="0.78"/>
    <n v="9"/>
    <n v="0.5"/>
    <x v="1"/>
  </r>
  <r>
    <s v="S1465"/>
    <n v="1465"/>
    <x v="3"/>
    <x v="2"/>
    <x v="1"/>
    <n v="2.16"/>
    <x v="2"/>
    <n v="99.2"/>
    <n v="0.92"/>
    <x v="1"/>
    <n v="6"/>
    <n v="14"/>
    <n v="0.54"/>
    <n v="18"/>
    <n v="0.88"/>
    <x v="0"/>
  </r>
  <r>
    <s v="S1466"/>
    <n v="1466"/>
    <x v="6"/>
    <x v="2"/>
    <x v="2"/>
    <n v="2.0699999999999998"/>
    <x v="0"/>
    <n v="83.9"/>
    <n v="0.78"/>
    <x v="2"/>
    <n v="39"/>
    <n v="82"/>
    <n v="0.64"/>
    <n v="16"/>
    <n v="0.88"/>
    <x v="0"/>
  </r>
  <r>
    <s v="S1467"/>
    <n v="1467"/>
    <x v="5"/>
    <x v="0"/>
    <x v="1"/>
    <n v="3.98"/>
    <x v="1"/>
    <n v="88.4"/>
    <n v="0.8"/>
    <x v="2"/>
    <n v="38"/>
    <n v="16"/>
    <n v="0.68"/>
    <n v="19"/>
    <n v="0.89"/>
    <x v="1"/>
  </r>
  <r>
    <s v="S1468"/>
    <n v="1468"/>
    <x v="6"/>
    <x v="1"/>
    <x v="3"/>
    <n v="2.06"/>
    <x v="2"/>
    <n v="60.3"/>
    <n v="0.94"/>
    <x v="2"/>
    <n v="3"/>
    <n v="50"/>
    <n v="0.81"/>
    <n v="1"/>
    <n v="0.97"/>
    <x v="0"/>
  </r>
  <r>
    <s v="S1469"/>
    <n v="1469"/>
    <x v="1"/>
    <x v="1"/>
    <x v="0"/>
    <n v="2.89"/>
    <x v="0"/>
    <n v="80.7"/>
    <n v="0.88"/>
    <x v="2"/>
    <n v="34"/>
    <n v="19"/>
    <n v="0.53"/>
    <n v="18"/>
    <n v="0.56000000000000005"/>
    <x v="1"/>
  </r>
  <r>
    <s v="S1470"/>
    <n v="1470"/>
    <x v="7"/>
    <x v="2"/>
    <x v="3"/>
    <n v="3.01"/>
    <x v="1"/>
    <n v="61.5"/>
    <n v="0.8"/>
    <x v="2"/>
    <n v="35"/>
    <n v="71"/>
    <n v="0.77"/>
    <n v="16"/>
    <n v="0.62"/>
    <x v="1"/>
  </r>
  <r>
    <s v="S1471"/>
    <n v="1471"/>
    <x v="2"/>
    <x v="1"/>
    <x v="2"/>
    <n v="2.23"/>
    <x v="0"/>
    <n v="82.8"/>
    <n v="0.7"/>
    <x v="2"/>
    <n v="30"/>
    <n v="35"/>
    <n v="0.95"/>
    <n v="17"/>
    <n v="0.95"/>
    <x v="0"/>
  </r>
  <r>
    <s v="S1472"/>
    <n v="1472"/>
    <x v="5"/>
    <x v="2"/>
    <x v="2"/>
    <n v="2.34"/>
    <x v="2"/>
    <n v="96.8"/>
    <n v="0.95"/>
    <x v="2"/>
    <n v="24"/>
    <n v="77"/>
    <n v="0.85"/>
    <n v="16"/>
    <n v="0.59"/>
    <x v="0"/>
  </r>
  <r>
    <s v="S1473"/>
    <n v="1473"/>
    <x v="7"/>
    <x v="0"/>
    <x v="2"/>
    <n v="2.7"/>
    <x v="2"/>
    <n v="98.7"/>
    <n v="0.83"/>
    <x v="0"/>
    <n v="12"/>
    <n v="33"/>
    <n v="0.9"/>
    <n v="1"/>
    <n v="0.84"/>
    <x v="1"/>
  </r>
  <r>
    <s v="S1474"/>
    <n v="1474"/>
    <x v="5"/>
    <x v="2"/>
    <x v="3"/>
    <n v="3.52"/>
    <x v="2"/>
    <n v="81.599999999999994"/>
    <n v="0.69"/>
    <x v="1"/>
    <n v="17"/>
    <n v="87"/>
    <n v="0.84"/>
    <n v="18"/>
    <n v="0.77"/>
    <x v="0"/>
  </r>
  <r>
    <s v="S1475"/>
    <n v="1475"/>
    <x v="4"/>
    <x v="2"/>
    <x v="1"/>
    <n v="3.01"/>
    <x v="3"/>
    <n v="78.3"/>
    <n v="0.71"/>
    <x v="1"/>
    <n v="20"/>
    <n v="50"/>
    <n v="0.6"/>
    <n v="0"/>
    <n v="0.54"/>
    <x v="0"/>
  </r>
  <r>
    <s v="S1476"/>
    <n v="1476"/>
    <x v="4"/>
    <x v="0"/>
    <x v="3"/>
    <n v="3.28"/>
    <x v="0"/>
    <n v="97.8"/>
    <n v="0.92"/>
    <x v="0"/>
    <n v="0"/>
    <n v="74"/>
    <n v="0.56000000000000005"/>
    <n v="10"/>
    <n v="0.64"/>
    <x v="2"/>
  </r>
  <r>
    <s v="S1477"/>
    <n v="1477"/>
    <x v="0"/>
    <x v="1"/>
    <x v="0"/>
    <n v="3.97"/>
    <x v="3"/>
    <n v="86.9"/>
    <n v="0.62"/>
    <x v="0"/>
    <n v="35"/>
    <n v="26"/>
    <n v="0.91"/>
    <n v="9"/>
    <n v="0.76"/>
    <x v="0"/>
  </r>
  <r>
    <s v="S1478"/>
    <n v="1478"/>
    <x v="4"/>
    <x v="2"/>
    <x v="1"/>
    <n v="3.54"/>
    <x v="2"/>
    <n v="62.6"/>
    <n v="1"/>
    <x v="2"/>
    <n v="7"/>
    <n v="33"/>
    <n v="0.85"/>
    <n v="4"/>
    <n v="0.93"/>
    <x v="2"/>
  </r>
  <r>
    <s v="S1479"/>
    <n v="1479"/>
    <x v="6"/>
    <x v="2"/>
    <x v="2"/>
    <n v="2.87"/>
    <x v="1"/>
    <n v="78.599999999999994"/>
    <n v="0.65"/>
    <x v="2"/>
    <n v="20"/>
    <n v="36"/>
    <n v="0.79"/>
    <n v="15"/>
    <n v="0.85"/>
    <x v="0"/>
  </r>
  <r>
    <s v="S1480"/>
    <n v="1480"/>
    <x v="4"/>
    <x v="0"/>
    <x v="3"/>
    <n v="2.89"/>
    <x v="0"/>
    <n v="69.599999999999994"/>
    <n v="0.92"/>
    <x v="0"/>
    <n v="20"/>
    <n v="16"/>
    <n v="0.59"/>
    <n v="4"/>
    <n v="0.81"/>
    <x v="1"/>
  </r>
  <r>
    <s v="S1481"/>
    <n v="1481"/>
    <x v="3"/>
    <x v="1"/>
    <x v="2"/>
    <n v="3.24"/>
    <x v="3"/>
    <n v="78.8"/>
    <n v="0.76"/>
    <x v="2"/>
    <n v="26"/>
    <n v="82"/>
    <n v="0.8"/>
    <n v="11"/>
    <n v="0.75"/>
    <x v="1"/>
  </r>
  <r>
    <s v="S1482"/>
    <n v="1482"/>
    <x v="2"/>
    <x v="2"/>
    <x v="2"/>
    <n v="3.33"/>
    <x v="0"/>
    <n v="78.2"/>
    <n v="0.8"/>
    <x v="1"/>
    <n v="18"/>
    <n v="21"/>
    <n v="0.52"/>
    <n v="3"/>
    <n v="0.65"/>
    <x v="1"/>
  </r>
  <r>
    <s v="S1483"/>
    <n v="1483"/>
    <x v="6"/>
    <x v="0"/>
    <x v="0"/>
    <n v="3"/>
    <x v="1"/>
    <n v="83.3"/>
    <n v="0.95"/>
    <x v="1"/>
    <n v="22"/>
    <n v="12"/>
    <n v="0.56000000000000005"/>
    <n v="5"/>
    <n v="0.56000000000000005"/>
    <x v="2"/>
  </r>
  <r>
    <s v="S1484"/>
    <n v="1484"/>
    <x v="7"/>
    <x v="2"/>
    <x v="1"/>
    <n v="3.29"/>
    <x v="3"/>
    <n v="74.3"/>
    <n v="0.77"/>
    <x v="2"/>
    <n v="34"/>
    <n v="88"/>
    <n v="0.66"/>
    <n v="18"/>
    <n v="0.7"/>
    <x v="1"/>
  </r>
  <r>
    <s v="S1485"/>
    <n v="1485"/>
    <x v="0"/>
    <x v="0"/>
    <x v="0"/>
    <n v="2.0499999999999998"/>
    <x v="2"/>
    <n v="66.599999999999994"/>
    <n v="0.81"/>
    <x v="2"/>
    <n v="39"/>
    <n v="19"/>
    <n v="0.72"/>
    <n v="8"/>
    <n v="0.51"/>
    <x v="0"/>
  </r>
  <r>
    <s v="S1486"/>
    <n v="1486"/>
    <x v="0"/>
    <x v="1"/>
    <x v="0"/>
    <n v="2.86"/>
    <x v="3"/>
    <n v="80.099999999999994"/>
    <n v="0.62"/>
    <x v="2"/>
    <n v="4"/>
    <n v="42"/>
    <n v="0.56000000000000005"/>
    <n v="11"/>
    <n v="0.61"/>
    <x v="0"/>
  </r>
  <r>
    <s v="S1487"/>
    <n v="1487"/>
    <x v="0"/>
    <x v="1"/>
    <x v="0"/>
    <n v="2.56"/>
    <x v="0"/>
    <n v="93.2"/>
    <n v="0.6"/>
    <x v="1"/>
    <n v="7"/>
    <n v="55"/>
    <n v="0.56000000000000005"/>
    <n v="14"/>
    <n v="0.72"/>
    <x v="0"/>
  </r>
  <r>
    <s v="S1488"/>
    <n v="1488"/>
    <x v="7"/>
    <x v="1"/>
    <x v="2"/>
    <n v="2.2599999999999998"/>
    <x v="0"/>
    <n v="86.6"/>
    <n v="0.7"/>
    <x v="2"/>
    <n v="10"/>
    <n v="68"/>
    <n v="0.86"/>
    <n v="15"/>
    <n v="0.71"/>
    <x v="0"/>
  </r>
  <r>
    <s v="S1489"/>
    <n v="1489"/>
    <x v="7"/>
    <x v="1"/>
    <x v="0"/>
    <n v="2.2000000000000002"/>
    <x v="0"/>
    <n v="73.5"/>
    <n v="0.87"/>
    <x v="0"/>
    <n v="15"/>
    <n v="61"/>
    <n v="0.78"/>
    <n v="12"/>
    <n v="0.52"/>
    <x v="0"/>
  </r>
  <r>
    <s v="S1490"/>
    <n v="1490"/>
    <x v="7"/>
    <x v="2"/>
    <x v="0"/>
    <n v="3.21"/>
    <x v="0"/>
    <n v="97.4"/>
    <n v="0.65"/>
    <x v="2"/>
    <n v="38"/>
    <n v="15"/>
    <n v="0.77"/>
    <n v="6"/>
    <n v="0.79"/>
    <x v="0"/>
  </r>
  <r>
    <s v="S1491"/>
    <n v="1491"/>
    <x v="7"/>
    <x v="2"/>
    <x v="1"/>
    <n v="3.05"/>
    <x v="2"/>
    <n v="96.5"/>
    <n v="0.65"/>
    <x v="0"/>
    <n v="23"/>
    <n v="11"/>
    <n v="0.73"/>
    <n v="19"/>
    <n v="0.77"/>
    <x v="0"/>
  </r>
  <r>
    <s v="S1492"/>
    <n v="1492"/>
    <x v="0"/>
    <x v="1"/>
    <x v="1"/>
    <n v="2.5099999999999998"/>
    <x v="3"/>
    <n v="68.400000000000006"/>
    <n v="0.76"/>
    <x v="2"/>
    <n v="20"/>
    <n v="38"/>
    <n v="0.99"/>
    <n v="3"/>
    <n v="0.54"/>
    <x v="1"/>
  </r>
  <r>
    <s v="S1493"/>
    <n v="1493"/>
    <x v="0"/>
    <x v="1"/>
    <x v="0"/>
    <n v="2.94"/>
    <x v="2"/>
    <n v="61.6"/>
    <n v="0.86"/>
    <x v="2"/>
    <n v="22"/>
    <n v="49"/>
    <n v="0.52"/>
    <n v="10"/>
    <n v="0.97"/>
    <x v="1"/>
  </r>
  <r>
    <s v="S1494"/>
    <n v="1494"/>
    <x v="5"/>
    <x v="1"/>
    <x v="1"/>
    <n v="2.98"/>
    <x v="2"/>
    <n v="89.7"/>
    <n v="0.88"/>
    <x v="1"/>
    <n v="37"/>
    <n v="70"/>
    <n v="0.59"/>
    <n v="7"/>
    <n v="0.55000000000000004"/>
    <x v="1"/>
  </r>
  <r>
    <s v="S1495"/>
    <n v="1495"/>
    <x v="6"/>
    <x v="2"/>
    <x v="1"/>
    <n v="2.39"/>
    <x v="2"/>
    <n v="93.1"/>
    <n v="0.67"/>
    <x v="0"/>
    <n v="7"/>
    <n v="77"/>
    <n v="0.82"/>
    <n v="5"/>
    <n v="0.93"/>
    <x v="0"/>
  </r>
  <r>
    <s v="S1496"/>
    <n v="1496"/>
    <x v="2"/>
    <x v="1"/>
    <x v="0"/>
    <n v="3.3"/>
    <x v="0"/>
    <n v="98.7"/>
    <n v="0.63"/>
    <x v="0"/>
    <n v="6"/>
    <n v="77"/>
    <n v="0.56999999999999995"/>
    <n v="9"/>
    <n v="0.5"/>
    <x v="0"/>
  </r>
  <r>
    <s v="S1497"/>
    <n v="1497"/>
    <x v="4"/>
    <x v="1"/>
    <x v="2"/>
    <n v="3.56"/>
    <x v="0"/>
    <n v="95.6"/>
    <n v="0.98"/>
    <x v="0"/>
    <n v="1"/>
    <n v="38"/>
    <n v="0.79"/>
    <n v="6"/>
    <n v="0.94"/>
    <x v="2"/>
  </r>
  <r>
    <s v="S1498"/>
    <n v="1498"/>
    <x v="4"/>
    <x v="1"/>
    <x v="0"/>
    <n v="3.58"/>
    <x v="0"/>
    <n v="84"/>
    <n v="0.7"/>
    <x v="1"/>
    <n v="29"/>
    <n v="71"/>
    <n v="0.78"/>
    <n v="6"/>
    <n v="0.51"/>
    <x v="0"/>
  </r>
  <r>
    <s v="S1499"/>
    <n v="1499"/>
    <x v="3"/>
    <x v="0"/>
    <x v="1"/>
    <n v="3.2"/>
    <x v="3"/>
    <n v="81.2"/>
    <n v="0.94"/>
    <x v="0"/>
    <n v="12"/>
    <n v="69"/>
    <n v="0.99"/>
    <n v="3"/>
    <n v="0.88"/>
    <x v="2"/>
  </r>
  <r>
    <s v="S1500"/>
    <n v="1500"/>
    <x v="0"/>
    <x v="1"/>
    <x v="2"/>
    <n v="3.02"/>
    <x v="1"/>
    <n v="61.1"/>
    <n v="0.95"/>
    <x v="1"/>
    <n v="22"/>
    <n v="50"/>
    <n v="0.94"/>
    <n v="2"/>
    <n v="0.68"/>
    <x v="2"/>
  </r>
  <r>
    <s v="S1501"/>
    <n v="1501"/>
    <x v="3"/>
    <x v="0"/>
    <x v="3"/>
    <n v="2.12"/>
    <x v="0"/>
    <n v="69.900000000000006"/>
    <n v="0.91"/>
    <x v="2"/>
    <n v="28"/>
    <n v="74"/>
    <n v="0.97"/>
    <n v="6"/>
    <n v="0.87"/>
    <x v="0"/>
  </r>
  <r>
    <s v="S1502"/>
    <n v="1502"/>
    <x v="6"/>
    <x v="0"/>
    <x v="2"/>
    <n v="2.58"/>
    <x v="3"/>
    <n v="78.400000000000006"/>
    <n v="0.67"/>
    <x v="2"/>
    <n v="37"/>
    <n v="73"/>
    <n v="0.56000000000000005"/>
    <n v="3"/>
    <n v="0.7"/>
    <x v="0"/>
  </r>
  <r>
    <s v="S1503"/>
    <n v="1503"/>
    <x v="6"/>
    <x v="1"/>
    <x v="1"/>
    <n v="2.19"/>
    <x v="0"/>
    <n v="85.1"/>
    <n v="0.93"/>
    <x v="0"/>
    <n v="36"/>
    <n v="88"/>
    <n v="0.93"/>
    <n v="12"/>
    <n v="0.54"/>
    <x v="0"/>
  </r>
  <r>
    <s v="S1504"/>
    <n v="1504"/>
    <x v="3"/>
    <x v="0"/>
    <x v="2"/>
    <n v="3.93"/>
    <x v="0"/>
    <n v="82.3"/>
    <n v="0.91"/>
    <x v="2"/>
    <n v="19"/>
    <n v="72"/>
    <n v="0.56000000000000005"/>
    <n v="19"/>
    <n v="0.88"/>
    <x v="2"/>
  </r>
  <r>
    <s v="S1505"/>
    <n v="1505"/>
    <x v="0"/>
    <x v="1"/>
    <x v="0"/>
    <n v="2.27"/>
    <x v="2"/>
    <n v="89.7"/>
    <n v="0.84"/>
    <x v="2"/>
    <n v="32"/>
    <n v="57"/>
    <n v="0.82"/>
    <n v="16"/>
    <n v="0.54"/>
    <x v="0"/>
  </r>
  <r>
    <s v="S1506"/>
    <n v="1506"/>
    <x v="3"/>
    <x v="2"/>
    <x v="3"/>
    <n v="2.2999999999999998"/>
    <x v="2"/>
    <n v="71.2"/>
    <n v="0.73"/>
    <x v="0"/>
    <n v="28"/>
    <n v="29"/>
    <n v="0.86"/>
    <n v="6"/>
    <n v="0.96"/>
    <x v="0"/>
  </r>
  <r>
    <s v="S1507"/>
    <n v="1507"/>
    <x v="4"/>
    <x v="2"/>
    <x v="3"/>
    <n v="3.78"/>
    <x v="2"/>
    <n v="82.6"/>
    <n v="0.71"/>
    <x v="2"/>
    <n v="14"/>
    <n v="46"/>
    <n v="0.57999999999999996"/>
    <n v="16"/>
    <n v="0.53"/>
    <x v="0"/>
  </r>
  <r>
    <s v="S1508"/>
    <n v="1508"/>
    <x v="5"/>
    <x v="2"/>
    <x v="3"/>
    <n v="3.89"/>
    <x v="3"/>
    <n v="63.5"/>
    <n v="0.65"/>
    <x v="0"/>
    <n v="22"/>
    <n v="73"/>
    <n v="0.82"/>
    <n v="3"/>
    <n v="0.74"/>
    <x v="0"/>
  </r>
  <r>
    <s v="S1509"/>
    <n v="1509"/>
    <x v="4"/>
    <x v="2"/>
    <x v="1"/>
    <n v="3.53"/>
    <x v="1"/>
    <n v="76.5"/>
    <n v="0.8"/>
    <x v="0"/>
    <n v="2"/>
    <n v="14"/>
    <n v="0.53"/>
    <n v="10"/>
    <n v="0.86"/>
    <x v="1"/>
  </r>
  <r>
    <s v="S1510"/>
    <n v="1510"/>
    <x v="1"/>
    <x v="0"/>
    <x v="1"/>
    <n v="2.0099999999999998"/>
    <x v="1"/>
    <n v="90"/>
    <n v="0.83"/>
    <x v="2"/>
    <n v="36"/>
    <n v="43"/>
    <n v="0.65"/>
    <n v="2"/>
    <n v="0.7"/>
    <x v="0"/>
  </r>
  <r>
    <s v="S1511"/>
    <n v="1511"/>
    <x v="0"/>
    <x v="1"/>
    <x v="3"/>
    <n v="2"/>
    <x v="3"/>
    <n v="87.7"/>
    <n v="0.74"/>
    <x v="2"/>
    <n v="28"/>
    <n v="48"/>
    <n v="0.96"/>
    <n v="10"/>
    <n v="0.61"/>
    <x v="0"/>
  </r>
  <r>
    <s v="S1512"/>
    <n v="1512"/>
    <x v="0"/>
    <x v="1"/>
    <x v="2"/>
    <n v="2.76"/>
    <x v="0"/>
    <n v="99.6"/>
    <n v="0.79"/>
    <x v="2"/>
    <n v="7"/>
    <n v="76"/>
    <n v="0.59"/>
    <n v="2"/>
    <n v="0.88"/>
    <x v="1"/>
  </r>
  <r>
    <s v="S1513"/>
    <n v="1513"/>
    <x v="2"/>
    <x v="1"/>
    <x v="3"/>
    <n v="2.29"/>
    <x v="3"/>
    <n v="71.099999999999994"/>
    <n v="0.75"/>
    <x v="2"/>
    <n v="21"/>
    <n v="71"/>
    <n v="0.53"/>
    <n v="11"/>
    <n v="0.89"/>
    <x v="0"/>
  </r>
  <r>
    <s v="S1514"/>
    <n v="1514"/>
    <x v="7"/>
    <x v="2"/>
    <x v="2"/>
    <n v="2.04"/>
    <x v="0"/>
    <n v="79.900000000000006"/>
    <n v="0.86"/>
    <x v="2"/>
    <n v="28"/>
    <n v="33"/>
    <n v="0.72"/>
    <n v="0"/>
    <n v="0.96"/>
    <x v="0"/>
  </r>
  <r>
    <s v="S1515"/>
    <n v="1515"/>
    <x v="1"/>
    <x v="2"/>
    <x v="2"/>
    <n v="2.93"/>
    <x v="3"/>
    <n v="73.2"/>
    <n v="0.96"/>
    <x v="1"/>
    <n v="1"/>
    <n v="12"/>
    <n v="0.93"/>
    <n v="3"/>
    <n v="0.69"/>
    <x v="1"/>
  </r>
  <r>
    <s v="S1516"/>
    <n v="1516"/>
    <x v="6"/>
    <x v="1"/>
    <x v="1"/>
    <n v="3.89"/>
    <x v="3"/>
    <n v="77.599999999999994"/>
    <n v="0.67"/>
    <x v="2"/>
    <n v="0"/>
    <n v="80"/>
    <n v="0.54"/>
    <n v="13"/>
    <n v="0.75"/>
    <x v="0"/>
  </r>
  <r>
    <s v="S1517"/>
    <n v="1517"/>
    <x v="0"/>
    <x v="2"/>
    <x v="2"/>
    <n v="2.65"/>
    <x v="3"/>
    <n v="94.3"/>
    <n v="0.75"/>
    <x v="1"/>
    <n v="19"/>
    <n v="76"/>
    <n v="0.68"/>
    <n v="0"/>
    <n v="0.68"/>
    <x v="1"/>
  </r>
  <r>
    <s v="S1518"/>
    <n v="1518"/>
    <x v="3"/>
    <x v="1"/>
    <x v="3"/>
    <n v="3.32"/>
    <x v="1"/>
    <n v="87.4"/>
    <n v="0.66"/>
    <x v="0"/>
    <n v="20"/>
    <n v="88"/>
    <n v="0.95"/>
    <n v="13"/>
    <n v="0.63"/>
    <x v="0"/>
  </r>
  <r>
    <s v="S1519"/>
    <n v="1519"/>
    <x v="1"/>
    <x v="1"/>
    <x v="1"/>
    <n v="3.3"/>
    <x v="2"/>
    <n v="95.3"/>
    <n v="0.85"/>
    <x v="2"/>
    <n v="36"/>
    <n v="59"/>
    <n v="0.56000000000000005"/>
    <n v="12"/>
    <n v="0.88"/>
    <x v="2"/>
  </r>
  <r>
    <s v="S1520"/>
    <n v="1520"/>
    <x v="2"/>
    <x v="1"/>
    <x v="0"/>
    <n v="2.5"/>
    <x v="3"/>
    <n v="68.099999999999994"/>
    <n v="0.89"/>
    <x v="2"/>
    <n v="7"/>
    <n v="38"/>
    <n v="0.66"/>
    <n v="12"/>
    <n v="0.67"/>
    <x v="1"/>
  </r>
  <r>
    <s v="S1521"/>
    <n v="1521"/>
    <x v="6"/>
    <x v="1"/>
    <x v="0"/>
    <n v="3.3"/>
    <x v="1"/>
    <n v="94.9"/>
    <n v="0.97"/>
    <x v="2"/>
    <n v="26"/>
    <n v="83"/>
    <n v="0.89"/>
    <n v="14"/>
    <n v="0.71"/>
    <x v="2"/>
  </r>
  <r>
    <s v="S1522"/>
    <n v="1522"/>
    <x v="7"/>
    <x v="1"/>
    <x v="1"/>
    <n v="2.42"/>
    <x v="2"/>
    <n v="62.4"/>
    <n v="0.71"/>
    <x v="0"/>
    <n v="34"/>
    <n v="41"/>
    <n v="0.77"/>
    <n v="16"/>
    <n v="0.7"/>
    <x v="0"/>
  </r>
  <r>
    <s v="S1523"/>
    <n v="1523"/>
    <x v="7"/>
    <x v="1"/>
    <x v="3"/>
    <n v="2.2400000000000002"/>
    <x v="2"/>
    <n v="95.5"/>
    <n v="0.98"/>
    <x v="1"/>
    <n v="5"/>
    <n v="48"/>
    <n v="0.92"/>
    <n v="11"/>
    <n v="0.86"/>
    <x v="0"/>
  </r>
  <r>
    <s v="S1524"/>
    <n v="1524"/>
    <x v="2"/>
    <x v="1"/>
    <x v="0"/>
    <n v="3.4"/>
    <x v="3"/>
    <n v="73.2"/>
    <n v="0.63"/>
    <x v="1"/>
    <n v="18"/>
    <n v="18"/>
    <n v="0.56000000000000005"/>
    <n v="13"/>
    <n v="0.96"/>
    <x v="0"/>
  </r>
  <r>
    <s v="S1525"/>
    <n v="1525"/>
    <x v="2"/>
    <x v="2"/>
    <x v="0"/>
    <n v="2.23"/>
    <x v="0"/>
    <n v="72.599999999999994"/>
    <n v="0.84"/>
    <x v="2"/>
    <n v="17"/>
    <n v="23"/>
    <n v="0.96"/>
    <n v="11"/>
    <n v="0.83"/>
    <x v="0"/>
  </r>
  <r>
    <s v="S1526"/>
    <n v="1526"/>
    <x v="3"/>
    <x v="1"/>
    <x v="2"/>
    <n v="3.99"/>
    <x v="0"/>
    <n v="80.5"/>
    <n v="0.62"/>
    <x v="2"/>
    <n v="0"/>
    <n v="77"/>
    <n v="0.97"/>
    <n v="17"/>
    <n v="0.74"/>
    <x v="0"/>
  </r>
  <r>
    <s v="S1527"/>
    <n v="1527"/>
    <x v="0"/>
    <x v="1"/>
    <x v="2"/>
    <n v="2.37"/>
    <x v="0"/>
    <n v="97.6"/>
    <n v="0.96"/>
    <x v="2"/>
    <n v="24"/>
    <n v="73"/>
    <n v="0.57999999999999996"/>
    <n v="3"/>
    <n v="0.89"/>
    <x v="0"/>
  </r>
  <r>
    <s v="S1528"/>
    <n v="1528"/>
    <x v="7"/>
    <x v="2"/>
    <x v="3"/>
    <n v="3.19"/>
    <x v="3"/>
    <n v="61.9"/>
    <n v="0.81"/>
    <x v="2"/>
    <n v="26"/>
    <n v="29"/>
    <n v="0.52"/>
    <n v="13"/>
    <n v="0.82"/>
    <x v="1"/>
  </r>
  <r>
    <s v="S1529"/>
    <n v="1529"/>
    <x v="6"/>
    <x v="2"/>
    <x v="1"/>
    <n v="2.82"/>
    <x v="0"/>
    <n v="74.099999999999994"/>
    <n v="0.87"/>
    <x v="0"/>
    <n v="6"/>
    <n v="37"/>
    <n v="0.99"/>
    <n v="18"/>
    <n v="0.53"/>
    <x v="1"/>
  </r>
  <r>
    <s v="S1530"/>
    <n v="1530"/>
    <x v="1"/>
    <x v="2"/>
    <x v="3"/>
    <n v="2.25"/>
    <x v="1"/>
    <n v="94.3"/>
    <n v="0.93"/>
    <x v="2"/>
    <n v="28"/>
    <n v="23"/>
    <n v="0.74"/>
    <n v="12"/>
    <n v="0.55000000000000004"/>
    <x v="0"/>
  </r>
  <r>
    <s v="S1531"/>
    <n v="1531"/>
    <x v="6"/>
    <x v="1"/>
    <x v="1"/>
    <n v="2.06"/>
    <x v="1"/>
    <n v="75.8"/>
    <n v="0.66"/>
    <x v="0"/>
    <n v="30"/>
    <n v="53"/>
    <n v="0.79"/>
    <n v="17"/>
    <n v="0.52"/>
    <x v="0"/>
  </r>
  <r>
    <s v="S1532"/>
    <n v="1532"/>
    <x v="5"/>
    <x v="0"/>
    <x v="0"/>
    <n v="3.25"/>
    <x v="1"/>
    <n v="68"/>
    <n v="0.62"/>
    <x v="2"/>
    <n v="35"/>
    <n v="86"/>
    <n v="0.81"/>
    <n v="10"/>
    <n v="0.73"/>
    <x v="0"/>
  </r>
  <r>
    <s v="S1533"/>
    <n v="1533"/>
    <x v="5"/>
    <x v="0"/>
    <x v="2"/>
    <n v="3.61"/>
    <x v="1"/>
    <n v="77"/>
    <n v="0.95"/>
    <x v="1"/>
    <n v="18"/>
    <n v="48"/>
    <n v="0.89"/>
    <n v="5"/>
    <n v="0.91"/>
    <x v="2"/>
  </r>
  <r>
    <s v="S1534"/>
    <n v="1534"/>
    <x v="2"/>
    <x v="2"/>
    <x v="3"/>
    <n v="3.68"/>
    <x v="2"/>
    <n v="75.400000000000006"/>
    <n v="0.73"/>
    <x v="1"/>
    <n v="5"/>
    <n v="37"/>
    <n v="0.91"/>
    <n v="8"/>
    <n v="0.66"/>
    <x v="0"/>
  </r>
  <r>
    <s v="S1535"/>
    <n v="1535"/>
    <x v="3"/>
    <x v="0"/>
    <x v="3"/>
    <n v="2.97"/>
    <x v="1"/>
    <n v="96.6"/>
    <n v="0.65"/>
    <x v="2"/>
    <n v="24"/>
    <n v="73"/>
    <n v="0.6"/>
    <n v="11"/>
    <n v="0.69"/>
    <x v="0"/>
  </r>
  <r>
    <s v="S1536"/>
    <n v="1536"/>
    <x v="5"/>
    <x v="2"/>
    <x v="1"/>
    <n v="3.55"/>
    <x v="0"/>
    <n v="90.5"/>
    <n v="0.79"/>
    <x v="2"/>
    <n v="30"/>
    <n v="41"/>
    <n v="0.62"/>
    <n v="18"/>
    <n v="0.95"/>
    <x v="1"/>
  </r>
  <r>
    <s v="S1537"/>
    <n v="1537"/>
    <x v="7"/>
    <x v="1"/>
    <x v="1"/>
    <n v="3.35"/>
    <x v="3"/>
    <n v="80.2"/>
    <n v="0.84"/>
    <x v="0"/>
    <n v="8"/>
    <n v="18"/>
    <n v="0.94"/>
    <n v="13"/>
    <n v="0.92"/>
    <x v="1"/>
  </r>
  <r>
    <s v="S1538"/>
    <n v="1538"/>
    <x v="6"/>
    <x v="0"/>
    <x v="3"/>
    <n v="3.45"/>
    <x v="0"/>
    <n v="99.5"/>
    <n v="0.61"/>
    <x v="2"/>
    <n v="19"/>
    <n v="37"/>
    <n v="0.91"/>
    <n v="14"/>
    <n v="0.83"/>
    <x v="0"/>
  </r>
  <r>
    <s v="S1539"/>
    <n v="1539"/>
    <x v="6"/>
    <x v="1"/>
    <x v="1"/>
    <n v="2.99"/>
    <x v="1"/>
    <n v="78.599999999999994"/>
    <n v="0.71"/>
    <x v="2"/>
    <n v="9"/>
    <n v="26"/>
    <n v="0.81"/>
    <n v="10"/>
    <n v="0.63"/>
    <x v="0"/>
  </r>
  <r>
    <s v="S1540"/>
    <n v="1540"/>
    <x v="2"/>
    <x v="0"/>
    <x v="3"/>
    <n v="3.27"/>
    <x v="2"/>
    <n v="62.3"/>
    <n v="0.61"/>
    <x v="2"/>
    <n v="36"/>
    <n v="86"/>
    <n v="1"/>
    <n v="5"/>
    <n v="0.56000000000000005"/>
    <x v="0"/>
  </r>
  <r>
    <s v="S1541"/>
    <n v="1541"/>
    <x v="0"/>
    <x v="1"/>
    <x v="3"/>
    <n v="3.61"/>
    <x v="1"/>
    <n v="70.5"/>
    <n v="0.77"/>
    <x v="1"/>
    <n v="26"/>
    <n v="64"/>
    <n v="0.87"/>
    <n v="13"/>
    <n v="0.51"/>
    <x v="1"/>
  </r>
  <r>
    <s v="S1542"/>
    <n v="1542"/>
    <x v="0"/>
    <x v="0"/>
    <x v="3"/>
    <n v="2.8"/>
    <x v="3"/>
    <n v="77.400000000000006"/>
    <n v="0.96"/>
    <x v="0"/>
    <n v="12"/>
    <n v="19"/>
    <n v="0.61"/>
    <n v="2"/>
    <n v="0.55000000000000004"/>
    <x v="1"/>
  </r>
  <r>
    <s v="S1543"/>
    <n v="1543"/>
    <x v="1"/>
    <x v="1"/>
    <x v="0"/>
    <n v="3.61"/>
    <x v="0"/>
    <n v="66.3"/>
    <n v="0.99"/>
    <x v="1"/>
    <n v="1"/>
    <n v="89"/>
    <n v="0.92"/>
    <n v="18"/>
    <n v="0.65"/>
    <x v="2"/>
  </r>
  <r>
    <s v="S1544"/>
    <n v="1544"/>
    <x v="2"/>
    <x v="1"/>
    <x v="1"/>
    <n v="3.18"/>
    <x v="3"/>
    <n v="97.9"/>
    <n v="0.85"/>
    <x v="0"/>
    <n v="20"/>
    <n v="15"/>
    <n v="0.71"/>
    <n v="19"/>
    <n v="0.78"/>
    <x v="2"/>
  </r>
  <r>
    <s v="S1545"/>
    <n v="1545"/>
    <x v="4"/>
    <x v="0"/>
    <x v="2"/>
    <n v="2.33"/>
    <x v="3"/>
    <n v="90.7"/>
    <n v="0.66"/>
    <x v="1"/>
    <n v="32"/>
    <n v="57"/>
    <n v="0.52"/>
    <n v="10"/>
    <n v="0.5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7F9664-87B3-42A4-B9E6-EAA7AD94ACE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C12:AD16" firstHeaderRow="1" firstDataRow="1" firstDataCol="1"/>
  <pivotFields count="16">
    <pivotField showAll="0"/>
    <pivotField showAll="0"/>
    <pivotField dataField="1"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s>
  <rowFields count="1">
    <field x="9"/>
  </rowFields>
  <rowItems count="4">
    <i>
      <x/>
    </i>
    <i>
      <x v="1"/>
    </i>
    <i>
      <x v="2"/>
    </i>
    <i t="grand">
      <x/>
    </i>
  </rowItems>
  <colItems count="1">
    <i/>
  </colItems>
  <dataFields count="1">
    <dataField name="Max of age" fld="2" subtotal="max" baseField="9"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C54416-A73D-4921-A048-23DC5D24BD9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8:U13" firstHeaderRow="1" firstDataRow="1" firstDataCol="1"/>
  <pivotFields count="16">
    <pivotField showAll="0"/>
    <pivotField showAll="0"/>
    <pivotField showAll="0"/>
    <pivotField showAll="0"/>
    <pivotField axis="axisRow" showAll="0">
      <items count="5">
        <item sd="0" x="1"/>
        <item sd="0" x="3"/>
        <item sd="0" x="0"/>
        <item sd="0" x="2"/>
        <item t="default"/>
      </items>
    </pivotField>
    <pivotField showAll="0"/>
    <pivotField showAll="0"/>
    <pivotField showAll="0"/>
    <pivotField showAll="0"/>
    <pivotField showAll="0"/>
    <pivotField showAll="0"/>
    <pivotField showAll="0"/>
    <pivotField showAll="0"/>
    <pivotField showAll="0"/>
    <pivotField showAll="0"/>
    <pivotField axis="axisRow" showAll="0" includeNewItemsInFilter="1" defaultSubtotal="0">
      <items count="3">
        <item x="0"/>
        <item x="2"/>
        <item x="1"/>
      </items>
    </pivotField>
  </pivotFields>
  <rowFields count="2">
    <field x="4"/>
    <field x="15"/>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A09E5B-F471-4A10-8D38-8C4F5A81286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6:D43" firstHeaderRow="0" firstDataRow="1" firstDataCol="1"/>
  <pivotFields count="16">
    <pivotField showAll="0"/>
    <pivotField showAll="0"/>
    <pivotField showAll="0"/>
    <pivotField showAll="0"/>
    <pivotField axis="axisRow" showAll="0">
      <items count="5">
        <item x="1"/>
        <item x="3"/>
        <item x="0"/>
        <item x="2"/>
        <item t="default"/>
      </items>
    </pivotField>
    <pivotField dataField="1" showAll="0"/>
    <pivotField showAll="0"/>
    <pivotField showAll="0"/>
    <pivotField showAll="0"/>
    <pivotField axis="axisRow" showAll="0">
      <items count="4">
        <item x="2"/>
        <item x="0"/>
        <item x="1"/>
        <item t="default"/>
      </items>
    </pivotField>
    <pivotField showAll="0"/>
    <pivotField dataField="1" showAll="0"/>
    <pivotField showAll="0"/>
    <pivotField showAll="0"/>
    <pivotField showAll="0"/>
    <pivotField showAll="0"/>
  </pivotFields>
  <rowFields count="2">
    <field x="4"/>
    <field x="9"/>
  </rowFields>
  <rowItems count="17">
    <i>
      <x/>
    </i>
    <i r="1">
      <x/>
    </i>
    <i r="1">
      <x v="1"/>
    </i>
    <i r="1">
      <x v="2"/>
    </i>
    <i>
      <x v="1"/>
    </i>
    <i r="1">
      <x/>
    </i>
    <i r="1">
      <x v="1"/>
    </i>
    <i r="1">
      <x v="2"/>
    </i>
    <i>
      <x v="2"/>
    </i>
    <i r="1">
      <x/>
    </i>
    <i r="1">
      <x v="1"/>
    </i>
    <i r="1">
      <x v="2"/>
    </i>
    <i>
      <x v="3"/>
    </i>
    <i r="1">
      <x/>
    </i>
    <i r="1">
      <x v="1"/>
    </i>
    <i r="1">
      <x v="2"/>
    </i>
    <i t="grand">
      <x/>
    </i>
  </rowItems>
  <colFields count="1">
    <field x="-2"/>
  </colFields>
  <colItems count="2">
    <i>
      <x/>
    </i>
    <i i="1">
      <x v="1"/>
    </i>
  </colItems>
  <dataFields count="2">
    <dataField name="Average of avg_session_duration_minutes" fld="11" subtotal="average" baseField="4" baseItem="0" numFmtId="2"/>
    <dataField name="Average of GPA" fld="5" subtotal="average" baseField="4" baseItem="0" numFmtId="2"/>
  </dataFields>
  <formats count="2">
    <format dxfId="78">
      <pivotArea outline="0" collapsedLevelsAreSubtotals="1" fieldPosition="0">
        <references count="1">
          <reference field="4294967294" count="1" selected="0">
            <x v="0"/>
          </reference>
        </references>
      </pivotArea>
    </format>
    <format dxfId="77">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DA6648-2357-478C-8686-4777C167C669}" name="PivotTable1" cacheId="0" applyNumberFormats="0" applyBorderFormats="0" applyFontFormats="0" applyPatternFormats="0" applyAlignmentFormats="0" applyWidthHeightFormats="1" dataCaption="Values" updatedVersion="8" minRefreshableVersion="3" useAutoFormatting="1" pageOverThenDown="1" rowGrandTotals="0" itemPrintTitles="1" createdVersion="8" indent="0" outline="1" outlineData="1" multipleFieldFilters="0" chartFormat="16">
  <location ref="B47:C51" firstHeaderRow="1" firstDataRow="1" firstDataCol="1"/>
  <pivotFields count="16">
    <pivotField showAll="0"/>
    <pivotField showAll="0"/>
    <pivotField showAll="0"/>
    <pivotField showAll="0"/>
    <pivotField axis="axisRow" showAll="0">
      <items count="5">
        <item x="1"/>
        <item x="3"/>
        <item x="0"/>
        <item x="2"/>
        <item t="default"/>
      </items>
    </pivotField>
    <pivotField dataField="1"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items count="4">
        <item x="0"/>
        <item x="2"/>
        <item x="1"/>
        <item t="default"/>
      </items>
    </pivotField>
  </pivotFields>
  <rowFields count="1">
    <field x="4"/>
  </rowFields>
  <rowItems count="4">
    <i>
      <x/>
    </i>
    <i>
      <x v="1"/>
    </i>
    <i>
      <x v="2"/>
    </i>
    <i>
      <x v="3"/>
    </i>
  </rowItems>
  <colItems count="1">
    <i/>
  </colItems>
  <dataFields count="1">
    <dataField name="Average of GPA" fld="5" subtotal="average" baseField="4" baseItem="0" numFmtId="2"/>
  </dataFields>
  <formats count="1">
    <format dxfId="7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471A64-F52B-430D-A2DA-81EC28E2684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3:C20" firstHeaderRow="1" firstDataRow="1" firstDataCol="1"/>
  <pivotFields count="16">
    <pivotField showAll="0"/>
    <pivotField showAll="0"/>
    <pivotField showAll="0">
      <items count="9">
        <item h="1" x="7"/>
        <item h="1" x="5"/>
        <item x="3"/>
        <item h="1" x="1"/>
        <item h="1" x="2"/>
        <item h="1" x="6"/>
        <item h="1" x="0"/>
        <item h="1" x="4"/>
        <item t="default"/>
      </items>
    </pivotField>
    <pivotField axis="axisRow" showAll="0">
      <items count="4">
        <item x="2"/>
        <item x="1"/>
        <item x="0"/>
        <item t="default"/>
      </items>
    </pivotField>
    <pivotField axis="axisRow" showAll="0">
      <items count="5">
        <item x="1"/>
        <item x="3"/>
        <item x="0"/>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s>
  <rowFields count="2">
    <field x="4"/>
    <field x="3"/>
  </rowFields>
  <rowItems count="17">
    <i>
      <x/>
    </i>
    <i r="1">
      <x/>
    </i>
    <i r="1">
      <x v="1"/>
    </i>
    <i r="1">
      <x v="2"/>
    </i>
    <i>
      <x v="1"/>
    </i>
    <i r="1">
      <x/>
    </i>
    <i r="1">
      <x v="1"/>
    </i>
    <i r="1">
      <x v="2"/>
    </i>
    <i>
      <x v="2"/>
    </i>
    <i r="1">
      <x/>
    </i>
    <i r="1">
      <x v="1"/>
    </i>
    <i r="1">
      <x v="2"/>
    </i>
    <i>
      <x v="3"/>
    </i>
    <i r="1">
      <x/>
    </i>
    <i r="1">
      <x v="1"/>
    </i>
    <i r="1">
      <x v="2"/>
    </i>
    <i t="grand">
      <x/>
    </i>
  </rowItems>
  <colItems count="1">
    <i/>
  </colItems>
  <dataFields count="1">
    <dataField name="Average of GPA" fld="5" subtotal="average" baseField="4" baseItem="0" numFmtId="2"/>
  </dataFields>
  <formats count="11">
    <format dxfId="90">
      <pivotArea outline="0" collapsedLevelsAreSubtotals="1" fieldPosition="0"/>
    </format>
    <format dxfId="89">
      <pivotArea type="all" dataOnly="0" outline="0" fieldPosition="0"/>
    </format>
    <format dxfId="88">
      <pivotArea outline="0" collapsedLevelsAreSubtotals="1" fieldPosition="0"/>
    </format>
    <format dxfId="87">
      <pivotArea field="4" type="button" dataOnly="0" labelOnly="1" outline="0" axis="axisRow" fieldPosition="0"/>
    </format>
    <format dxfId="86">
      <pivotArea dataOnly="0" labelOnly="1" fieldPosition="0">
        <references count="1">
          <reference field="4" count="0"/>
        </references>
      </pivotArea>
    </format>
    <format dxfId="85">
      <pivotArea dataOnly="0" labelOnly="1" grandRow="1" outline="0" fieldPosition="0"/>
    </format>
    <format dxfId="84">
      <pivotArea dataOnly="0" labelOnly="1" fieldPosition="0">
        <references count="2">
          <reference field="3" count="0"/>
          <reference field="4" count="1" selected="0">
            <x v="0"/>
          </reference>
        </references>
      </pivotArea>
    </format>
    <format dxfId="83">
      <pivotArea dataOnly="0" labelOnly="1" fieldPosition="0">
        <references count="2">
          <reference field="3" count="0"/>
          <reference field="4" count="1" selected="0">
            <x v="1"/>
          </reference>
        </references>
      </pivotArea>
    </format>
    <format dxfId="82">
      <pivotArea dataOnly="0" labelOnly="1" fieldPosition="0">
        <references count="2">
          <reference field="3" count="0"/>
          <reference field="4" count="1" selected="0">
            <x v="2"/>
          </reference>
        </references>
      </pivotArea>
    </format>
    <format dxfId="81">
      <pivotArea dataOnly="0" labelOnly="1" fieldPosition="0">
        <references count="2">
          <reference field="3" count="0"/>
          <reference field="4" count="1" selected="0">
            <x v="3"/>
          </reference>
        </references>
      </pivotArea>
    </format>
    <format dxfId="8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497EF1A9-5CE8-4FBE-97EF-89BE8866DCE9}" sourceName="age">
  <pivotTables>
    <pivotTable tabId="2" name="PivotTable8"/>
  </pivotTables>
  <data>
    <tabular pivotCacheId="1161477624">
      <items count="8">
        <i x="7"/>
        <i x="5"/>
        <i x="3" s="1"/>
        <i x="1"/>
        <i x="2"/>
        <i x="6"/>
        <i x="0"/>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DB24CF8B-448E-4DCC-98E0-E632E15AB0BF}" cache="Slicer_age" caption="ag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D4BE0C-5353-4C90-B6D3-7D44630A8F92}" name="Table1" displayName="Table1" ref="A1:P1547" totalsRowCount="1">
  <autoFilter ref="A1:P1546" xr:uid="{7AD4BE0C-5353-4C90-B6D3-7D44630A8F92}"/>
  <tableColumns count="16">
    <tableColumn id="1" xr3:uid="{4129E03E-3752-428F-A02C-771C9E6FE0EC}" name="student_id"/>
    <tableColumn id="17" xr3:uid="{4042005B-CA9F-4034-B236-97AC4B93E843}" name="Srno."/>
    <tableColumn id="2" xr3:uid="{CBE7E6F1-C64E-48F1-8B27-F32D69ED2A87}" name="age"/>
    <tableColumn id="3" xr3:uid="{B6FB3F5F-B0F8-4456-9B22-19DB694A2E50}" name="gender"/>
    <tableColumn id="4" xr3:uid="{7C5793B6-7E24-431A-B4CA-EF0AA13370AC}" name="major" totalsRowFunction="count"/>
    <tableColumn id="5" xr3:uid="{34E7FE7B-EBEB-4189-A0CE-68F4DE480D1C}" name="GPA"/>
    <tableColumn id="6" xr3:uid="{CDA3B65E-2ACF-40A1-968F-C7ABE968073B}" name="course_load"/>
    <tableColumn id="7" xr3:uid="{B94C1FC8-B467-4D1F-8DD1-BEAE6BAA9CB9}" name="avg_course_grade"/>
    <tableColumn id="8" xr3:uid="{D49834B4-7E87-4D85-BF28-DDA167B5DA4F}" name="attendance_rate"/>
    <tableColumn id="9" xr3:uid="{023C39CA-B7F5-4CBC-87C7-15BDECB372EC}" name="enrollment_status"/>
    <tableColumn id="10" xr3:uid="{569224AA-FEF1-4F22-B24C-B253B500EBD8}" name="lms_logins_past_month"/>
    <tableColumn id="11" xr3:uid="{83CCB96C-06F2-4F5E-920C-39ACEC53AF70}" name="avg_session_duration_minutes"/>
    <tableColumn id="12" xr3:uid="{0EF6B6A0-BD3E-4797-A3EA-43D3D173AD4C}" name="assignment_submission_rate"/>
    <tableColumn id="13" xr3:uid="{0755CA93-3EE6-465F-826A-234C453E969D}" name="forum_participation_count"/>
    <tableColumn id="14" xr3:uid="{A814A70C-F9E7-489B-89AD-851F47AF85EE}" name="video_completion_rate"/>
    <tableColumn id="15" xr3:uid="{DC1A7A0E-C4F4-4AFE-A65A-536472314E07}" name="risk_level"/>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495AB-0658-4AF0-95C6-8D748FE91BC2}">
  <dimension ref="A1:AG1547"/>
  <sheetViews>
    <sheetView topLeftCell="O118" zoomScale="91" workbookViewId="0">
      <selection activeCell="U12" sqref="U12"/>
    </sheetView>
  </sheetViews>
  <sheetFormatPr defaultRowHeight="14.5" x14ac:dyDescent="0.35"/>
  <cols>
    <col min="1" max="2" width="11.90625" customWidth="1"/>
    <col min="7" max="7" width="14.90625" bestFit="1" customWidth="1"/>
    <col min="8" max="8" width="6.81640625" bestFit="1" customWidth="1"/>
    <col min="9" max="9" width="16.81640625" customWidth="1"/>
    <col min="10" max="10" width="18.26953125" customWidth="1"/>
    <col min="11" max="11" width="22.81640625" customWidth="1"/>
    <col min="12" max="12" width="28.81640625" customWidth="1"/>
    <col min="13" max="13" width="27.1796875" customWidth="1"/>
    <col min="14" max="14" width="25.54296875" customWidth="1"/>
    <col min="15" max="15" width="22.26953125" customWidth="1"/>
    <col min="16" max="16" width="10.6328125" customWidth="1"/>
    <col min="20" max="20" width="16" bestFit="1" customWidth="1"/>
    <col min="21" max="21" width="17.7265625" bestFit="1" customWidth="1"/>
    <col min="22" max="22" width="10" bestFit="1" customWidth="1"/>
    <col min="28" max="28" width="17.7265625" bestFit="1" customWidth="1"/>
    <col min="29" max="29" width="12.81640625" bestFit="1" customWidth="1"/>
    <col min="30" max="30" width="10.08984375" bestFit="1" customWidth="1"/>
    <col min="32" max="32" width="17.81640625" bestFit="1" customWidth="1"/>
    <col min="33" max="33" width="14" bestFit="1" customWidth="1"/>
  </cols>
  <sheetData>
    <row r="1" spans="1:30" x14ac:dyDescent="0.35">
      <c r="A1" t="s">
        <v>0</v>
      </c>
      <c r="B1" t="s">
        <v>1575</v>
      </c>
      <c r="C1" t="s">
        <v>1</v>
      </c>
      <c r="D1" t="s">
        <v>2</v>
      </c>
      <c r="E1" t="s">
        <v>3</v>
      </c>
      <c r="F1" t="s">
        <v>4</v>
      </c>
      <c r="G1" t="s">
        <v>5</v>
      </c>
      <c r="H1" t="s">
        <v>6</v>
      </c>
      <c r="I1" t="s">
        <v>7</v>
      </c>
      <c r="J1" t="s">
        <v>8</v>
      </c>
      <c r="K1" t="s">
        <v>9</v>
      </c>
      <c r="L1" t="s">
        <v>10</v>
      </c>
      <c r="M1" t="s">
        <v>11</v>
      </c>
      <c r="N1" t="s">
        <v>12</v>
      </c>
      <c r="O1" t="s">
        <v>13</v>
      </c>
      <c r="P1" t="s">
        <v>14</v>
      </c>
    </row>
    <row r="2" spans="1:30" x14ac:dyDescent="0.35">
      <c r="A2" t="s">
        <v>15</v>
      </c>
      <c r="B2">
        <v>1</v>
      </c>
      <c r="C2">
        <v>24</v>
      </c>
      <c r="D2" t="s">
        <v>16</v>
      </c>
      <c r="E2" t="s">
        <v>17</v>
      </c>
      <c r="F2">
        <v>2.42</v>
      </c>
      <c r="G2">
        <v>5</v>
      </c>
      <c r="H2">
        <v>67.2</v>
      </c>
      <c r="I2">
        <v>0.71</v>
      </c>
      <c r="J2" t="s">
        <v>18</v>
      </c>
      <c r="K2">
        <v>32</v>
      </c>
      <c r="L2">
        <v>33</v>
      </c>
      <c r="M2">
        <v>0.7</v>
      </c>
      <c r="N2">
        <v>8</v>
      </c>
      <c r="O2">
        <v>0.74</v>
      </c>
      <c r="P2" t="s">
        <v>19</v>
      </c>
    </row>
    <row r="3" spans="1:30" x14ac:dyDescent="0.35">
      <c r="A3" t="s">
        <v>20</v>
      </c>
      <c r="B3">
        <v>2</v>
      </c>
      <c r="C3">
        <v>21</v>
      </c>
      <c r="D3" t="s">
        <v>21</v>
      </c>
      <c r="E3" t="s">
        <v>22</v>
      </c>
      <c r="F3">
        <v>3.73</v>
      </c>
      <c r="G3">
        <v>6</v>
      </c>
      <c r="H3">
        <v>64.400000000000006</v>
      </c>
      <c r="I3">
        <v>0.84</v>
      </c>
      <c r="J3" t="s">
        <v>23</v>
      </c>
      <c r="K3">
        <v>29</v>
      </c>
      <c r="L3">
        <v>53</v>
      </c>
      <c r="M3">
        <v>0.91</v>
      </c>
      <c r="N3">
        <v>13</v>
      </c>
      <c r="O3">
        <v>0.85</v>
      </c>
      <c r="P3" t="s">
        <v>24</v>
      </c>
    </row>
    <row r="4" spans="1:30" x14ac:dyDescent="0.35">
      <c r="A4" t="s">
        <v>25</v>
      </c>
      <c r="B4">
        <v>3</v>
      </c>
      <c r="C4">
        <v>22</v>
      </c>
      <c r="D4" t="s">
        <v>21</v>
      </c>
      <c r="E4" t="s">
        <v>17</v>
      </c>
      <c r="F4">
        <v>2.8</v>
      </c>
      <c r="G4">
        <v>3</v>
      </c>
      <c r="H4">
        <v>95.3</v>
      </c>
      <c r="I4">
        <v>0.89</v>
      </c>
      <c r="J4" t="s">
        <v>18</v>
      </c>
      <c r="K4">
        <v>34</v>
      </c>
      <c r="L4">
        <v>69</v>
      </c>
      <c r="M4">
        <v>0.57999999999999996</v>
      </c>
      <c r="N4">
        <v>18</v>
      </c>
      <c r="O4">
        <v>0.99</v>
      </c>
      <c r="P4" t="s">
        <v>24</v>
      </c>
    </row>
    <row r="5" spans="1:30" x14ac:dyDescent="0.35">
      <c r="A5" t="s">
        <v>26</v>
      </c>
      <c r="B5">
        <v>4</v>
      </c>
      <c r="C5">
        <v>24</v>
      </c>
      <c r="D5" t="s">
        <v>21</v>
      </c>
      <c r="E5" t="s">
        <v>22</v>
      </c>
      <c r="F5">
        <v>2.59</v>
      </c>
      <c r="G5">
        <v>4</v>
      </c>
      <c r="H5">
        <v>73.7</v>
      </c>
      <c r="I5">
        <v>0.98</v>
      </c>
      <c r="J5" t="s">
        <v>18</v>
      </c>
      <c r="K5">
        <v>22</v>
      </c>
      <c r="L5">
        <v>18</v>
      </c>
      <c r="M5">
        <v>0.91</v>
      </c>
      <c r="N5">
        <v>6</v>
      </c>
      <c r="O5">
        <v>0.72</v>
      </c>
      <c r="P5" t="s">
        <v>24</v>
      </c>
    </row>
    <row r="6" spans="1:30" x14ac:dyDescent="0.35">
      <c r="A6" t="s">
        <v>27</v>
      </c>
      <c r="B6">
        <v>5</v>
      </c>
      <c r="C6">
        <v>20</v>
      </c>
      <c r="D6" t="s">
        <v>16</v>
      </c>
      <c r="E6" t="s">
        <v>17</v>
      </c>
      <c r="F6">
        <v>2.2999999999999998</v>
      </c>
      <c r="G6">
        <v>4</v>
      </c>
      <c r="H6">
        <v>87.4</v>
      </c>
      <c r="I6">
        <v>0.95</v>
      </c>
      <c r="J6" t="s">
        <v>28</v>
      </c>
      <c r="K6">
        <v>9</v>
      </c>
      <c r="L6">
        <v>11</v>
      </c>
      <c r="M6">
        <v>0.77</v>
      </c>
      <c r="N6">
        <v>15</v>
      </c>
      <c r="O6">
        <v>0.76</v>
      </c>
      <c r="P6" t="s">
        <v>19</v>
      </c>
    </row>
    <row r="7" spans="1:30" x14ac:dyDescent="0.35">
      <c r="A7" t="s">
        <v>29</v>
      </c>
      <c r="B7">
        <v>6</v>
      </c>
      <c r="C7">
        <v>25</v>
      </c>
      <c r="D7" t="s">
        <v>21</v>
      </c>
      <c r="E7" t="s">
        <v>30</v>
      </c>
      <c r="F7">
        <v>2.5299999999999998</v>
      </c>
      <c r="G7">
        <v>4</v>
      </c>
      <c r="H7">
        <v>61</v>
      </c>
      <c r="I7">
        <v>0.81</v>
      </c>
      <c r="J7" t="s">
        <v>28</v>
      </c>
      <c r="K7">
        <v>18</v>
      </c>
      <c r="L7">
        <v>65</v>
      </c>
      <c r="M7">
        <v>0.61</v>
      </c>
      <c r="N7">
        <v>19</v>
      </c>
      <c r="O7">
        <v>0.76</v>
      </c>
      <c r="P7" t="s">
        <v>24</v>
      </c>
    </row>
    <row r="8" spans="1:30" x14ac:dyDescent="0.35">
      <c r="A8" t="s">
        <v>31</v>
      </c>
      <c r="B8">
        <v>7</v>
      </c>
      <c r="C8">
        <v>22</v>
      </c>
      <c r="D8" t="s">
        <v>32</v>
      </c>
      <c r="E8" t="s">
        <v>30</v>
      </c>
      <c r="F8">
        <v>2.04</v>
      </c>
      <c r="G8">
        <v>3</v>
      </c>
      <c r="H8">
        <v>87.6</v>
      </c>
      <c r="I8">
        <v>0.91</v>
      </c>
      <c r="J8" t="s">
        <v>28</v>
      </c>
      <c r="K8">
        <v>27</v>
      </c>
      <c r="L8">
        <v>39</v>
      </c>
      <c r="M8">
        <v>0.7</v>
      </c>
      <c r="N8">
        <v>4</v>
      </c>
      <c r="O8">
        <v>0.77</v>
      </c>
      <c r="P8" t="s">
        <v>19</v>
      </c>
      <c r="U8" s="1" t="s">
        <v>1573</v>
      </c>
    </row>
    <row r="9" spans="1:30" x14ac:dyDescent="0.35">
      <c r="A9" t="s">
        <v>33</v>
      </c>
      <c r="B9">
        <v>8</v>
      </c>
      <c r="C9">
        <v>22</v>
      </c>
      <c r="D9" t="s">
        <v>16</v>
      </c>
      <c r="E9" t="s">
        <v>17</v>
      </c>
      <c r="F9">
        <v>3.17</v>
      </c>
      <c r="G9">
        <v>4</v>
      </c>
      <c r="H9">
        <v>72.599999999999994</v>
      </c>
      <c r="I9">
        <v>0.82</v>
      </c>
      <c r="J9" t="s">
        <v>28</v>
      </c>
      <c r="K9">
        <v>22</v>
      </c>
      <c r="L9">
        <v>31</v>
      </c>
      <c r="M9">
        <v>0.99</v>
      </c>
      <c r="N9">
        <v>9</v>
      </c>
      <c r="O9">
        <v>0.76</v>
      </c>
      <c r="P9" t="s">
        <v>24</v>
      </c>
      <c r="U9" s="2" t="s">
        <v>22</v>
      </c>
      <c r="V9">
        <f>COUNTIFS(E:E,"Arts",P:P,"High")</f>
        <v>203</v>
      </c>
    </row>
    <row r="10" spans="1:30" x14ac:dyDescent="0.35">
      <c r="A10" t="s">
        <v>34</v>
      </c>
      <c r="B10">
        <v>9</v>
      </c>
      <c r="C10">
        <v>24</v>
      </c>
      <c r="D10" t="s">
        <v>16</v>
      </c>
      <c r="E10" t="s">
        <v>17</v>
      </c>
      <c r="F10">
        <v>3.68</v>
      </c>
      <c r="G10">
        <v>6</v>
      </c>
      <c r="H10">
        <v>62.2</v>
      </c>
      <c r="I10">
        <v>0.82</v>
      </c>
      <c r="J10" t="s">
        <v>28</v>
      </c>
      <c r="K10">
        <v>3</v>
      </c>
      <c r="L10">
        <v>84</v>
      </c>
      <c r="M10">
        <v>0.89</v>
      </c>
      <c r="N10">
        <v>17</v>
      </c>
      <c r="O10">
        <v>0.5</v>
      </c>
      <c r="P10" t="s">
        <v>24</v>
      </c>
      <c r="U10" s="2" t="s">
        <v>46</v>
      </c>
    </row>
    <row r="11" spans="1:30" x14ac:dyDescent="0.35">
      <c r="A11" t="s">
        <v>35</v>
      </c>
      <c r="B11">
        <v>10</v>
      </c>
      <c r="C11">
        <v>19</v>
      </c>
      <c r="D11" t="s">
        <v>16</v>
      </c>
      <c r="E11" t="s">
        <v>30</v>
      </c>
      <c r="F11">
        <v>3.1</v>
      </c>
      <c r="G11">
        <v>4</v>
      </c>
      <c r="H11">
        <v>84.4</v>
      </c>
      <c r="I11">
        <v>0.65</v>
      </c>
      <c r="J11" t="s">
        <v>28</v>
      </c>
      <c r="K11">
        <v>19</v>
      </c>
      <c r="L11">
        <v>22</v>
      </c>
      <c r="M11">
        <v>0.79</v>
      </c>
      <c r="N11">
        <v>10</v>
      </c>
      <c r="O11">
        <v>0.5</v>
      </c>
      <c r="P11" t="s">
        <v>19</v>
      </c>
      <c r="U11" s="2" t="s">
        <v>17</v>
      </c>
    </row>
    <row r="12" spans="1:30" x14ac:dyDescent="0.35">
      <c r="A12" t="s">
        <v>36</v>
      </c>
      <c r="B12">
        <v>11</v>
      </c>
      <c r="C12">
        <v>20</v>
      </c>
      <c r="D12" t="s">
        <v>16</v>
      </c>
      <c r="E12" t="s">
        <v>22</v>
      </c>
      <c r="F12">
        <v>2.44</v>
      </c>
      <c r="G12">
        <v>4</v>
      </c>
      <c r="H12">
        <v>69.599999999999994</v>
      </c>
      <c r="I12">
        <v>0.65</v>
      </c>
      <c r="J12" t="s">
        <v>23</v>
      </c>
      <c r="K12">
        <v>18</v>
      </c>
      <c r="L12">
        <v>80</v>
      </c>
      <c r="M12">
        <v>0.56000000000000005</v>
      </c>
      <c r="N12">
        <v>6</v>
      </c>
      <c r="O12">
        <v>0.55000000000000004</v>
      </c>
      <c r="P12" t="s">
        <v>19</v>
      </c>
      <c r="U12" s="2" t="s">
        <v>30</v>
      </c>
      <c r="AC12" s="1" t="s">
        <v>1573</v>
      </c>
      <c r="AD12" t="s">
        <v>1578</v>
      </c>
    </row>
    <row r="13" spans="1:30" x14ac:dyDescent="0.35">
      <c r="A13" t="s">
        <v>37</v>
      </c>
      <c r="B13">
        <v>12</v>
      </c>
      <c r="C13">
        <v>24</v>
      </c>
      <c r="D13" t="s">
        <v>32</v>
      </c>
      <c r="E13" t="s">
        <v>30</v>
      </c>
      <c r="F13">
        <v>2.0699999999999998</v>
      </c>
      <c r="G13">
        <v>6</v>
      </c>
      <c r="H13">
        <v>75.5</v>
      </c>
      <c r="I13">
        <v>0.81</v>
      </c>
      <c r="J13" t="s">
        <v>28</v>
      </c>
      <c r="K13">
        <v>26</v>
      </c>
      <c r="L13">
        <v>25</v>
      </c>
      <c r="M13">
        <v>0.71</v>
      </c>
      <c r="N13">
        <v>13</v>
      </c>
      <c r="O13">
        <v>0.55000000000000004</v>
      </c>
      <c r="P13" t="s">
        <v>19</v>
      </c>
      <c r="U13" s="2" t="s">
        <v>1574</v>
      </c>
      <c r="AC13" s="2" t="s">
        <v>28</v>
      </c>
      <c r="AD13">
        <v>25</v>
      </c>
    </row>
    <row r="14" spans="1:30" x14ac:dyDescent="0.35">
      <c r="A14" t="s">
        <v>38</v>
      </c>
      <c r="B14">
        <v>13</v>
      </c>
      <c r="C14">
        <v>20</v>
      </c>
      <c r="D14" t="s">
        <v>16</v>
      </c>
      <c r="E14" t="s">
        <v>22</v>
      </c>
      <c r="F14">
        <v>2.4300000000000002</v>
      </c>
      <c r="G14">
        <v>4</v>
      </c>
      <c r="H14">
        <v>63.2</v>
      </c>
      <c r="I14">
        <v>0.71</v>
      </c>
      <c r="J14" t="s">
        <v>18</v>
      </c>
      <c r="K14">
        <v>33</v>
      </c>
      <c r="L14">
        <v>54</v>
      </c>
      <c r="M14">
        <v>0.63</v>
      </c>
      <c r="N14">
        <v>19</v>
      </c>
      <c r="O14">
        <v>0.85</v>
      </c>
      <c r="P14" t="s">
        <v>19</v>
      </c>
      <c r="AC14" s="2" t="s">
        <v>18</v>
      </c>
      <c r="AD14">
        <v>25</v>
      </c>
    </row>
    <row r="15" spans="1:30" x14ac:dyDescent="0.35">
      <c r="A15" t="s">
        <v>39</v>
      </c>
      <c r="B15">
        <v>14</v>
      </c>
      <c r="C15">
        <v>20</v>
      </c>
      <c r="D15" t="s">
        <v>16</v>
      </c>
      <c r="E15" t="s">
        <v>17</v>
      </c>
      <c r="F15">
        <v>2.83</v>
      </c>
      <c r="G15">
        <v>6</v>
      </c>
      <c r="H15">
        <v>65.900000000000006</v>
      </c>
      <c r="I15">
        <v>0.61</v>
      </c>
      <c r="J15" t="s">
        <v>23</v>
      </c>
      <c r="K15">
        <v>3</v>
      </c>
      <c r="L15">
        <v>74</v>
      </c>
      <c r="M15">
        <v>0.54</v>
      </c>
      <c r="N15">
        <v>17</v>
      </c>
      <c r="O15">
        <v>0.6</v>
      </c>
      <c r="P15" t="s">
        <v>19</v>
      </c>
      <c r="AC15" s="2" t="s">
        <v>23</v>
      </c>
      <c r="AD15">
        <v>25</v>
      </c>
    </row>
    <row r="16" spans="1:30" x14ac:dyDescent="0.35">
      <c r="A16" t="s">
        <v>40</v>
      </c>
      <c r="B16">
        <v>15</v>
      </c>
      <c r="C16">
        <v>25</v>
      </c>
      <c r="D16" t="s">
        <v>21</v>
      </c>
      <c r="E16" t="s">
        <v>17</v>
      </c>
      <c r="F16">
        <v>3.52</v>
      </c>
      <c r="G16">
        <v>4</v>
      </c>
      <c r="H16">
        <v>71.900000000000006</v>
      </c>
      <c r="I16">
        <v>0.89</v>
      </c>
      <c r="J16" t="s">
        <v>18</v>
      </c>
      <c r="K16">
        <v>37</v>
      </c>
      <c r="L16">
        <v>20</v>
      </c>
      <c r="M16">
        <v>0.77</v>
      </c>
      <c r="N16">
        <v>10</v>
      </c>
      <c r="O16">
        <v>0.95</v>
      </c>
      <c r="P16" t="s">
        <v>41</v>
      </c>
      <c r="AC16" s="2" t="s">
        <v>1574</v>
      </c>
      <c r="AD16">
        <v>25</v>
      </c>
    </row>
    <row r="17" spans="1:33" x14ac:dyDescent="0.35">
      <c r="A17" t="s">
        <v>42</v>
      </c>
      <c r="B17">
        <v>16</v>
      </c>
      <c r="C17">
        <v>22</v>
      </c>
      <c r="D17" t="s">
        <v>16</v>
      </c>
      <c r="E17" t="s">
        <v>22</v>
      </c>
      <c r="F17">
        <v>2.38</v>
      </c>
      <c r="G17">
        <v>6</v>
      </c>
      <c r="H17">
        <v>63.6</v>
      </c>
      <c r="I17">
        <v>0.61</v>
      </c>
      <c r="J17" t="s">
        <v>28</v>
      </c>
      <c r="K17">
        <v>6</v>
      </c>
      <c r="L17">
        <v>79</v>
      </c>
      <c r="M17">
        <v>0.94</v>
      </c>
      <c r="N17">
        <v>11</v>
      </c>
      <c r="O17">
        <v>0.96</v>
      </c>
      <c r="P17" t="s">
        <v>19</v>
      </c>
      <c r="V17">
        <f>COUNTIFS(E:E,"Computer Science",P:P,"High")</f>
        <v>199</v>
      </c>
    </row>
    <row r="18" spans="1:33" x14ac:dyDescent="0.35">
      <c r="A18" t="s">
        <v>43</v>
      </c>
      <c r="B18">
        <v>17</v>
      </c>
      <c r="C18">
        <v>21</v>
      </c>
      <c r="D18" t="s">
        <v>32</v>
      </c>
      <c r="E18" t="s">
        <v>17</v>
      </c>
      <c r="F18">
        <v>3.44</v>
      </c>
      <c r="G18">
        <v>4</v>
      </c>
      <c r="H18">
        <v>96.4</v>
      </c>
      <c r="I18">
        <v>0.84</v>
      </c>
      <c r="J18" t="s">
        <v>28</v>
      </c>
      <c r="K18">
        <v>6</v>
      </c>
      <c r="L18">
        <v>29</v>
      </c>
      <c r="M18">
        <v>0.84</v>
      </c>
      <c r="N18">
        <v>17</v>
      </c>
      <c r="O18">
        <v>0.99</v>
      </c>
      <c r="P18" t="s">
        <v>24</v>
      </c>
    </row>
    <row r="19" spans="1:33" x14ac:dyDescent="0.35">
      <c r="A19" t="s">
        <v>44</v>
      </c>
      <c r="B19">
        <v>18</v>
      </c>
      <c r="C19">
        <v>25</v>
      </c>
      <c r="D19" t="s">
        <v>32</v>
      </c>
      <c r="E19" t="s">
        <v>22</v>
      </c>
      <c r="F19">
        <v>3.73</v>
      </c>
      <c r="G19">
        <v>6</v>
      </c>
      <c r="H19">
        <v>60.2</v>
      </c>
      <c r="I19">
        <v>0.82</v>
      </c>
      <c r="J19" t="s">
        <v>18</v>
      </c>
      <c r="K19">
        <v>25</v>
      </c>
      <c r="L19">
        <v>72</v>
      </c>
      <c r="M19">
        <v>0.62</v>
      </c>
      <c r="N19">
        <v>1</v>
      </c>
      <c r="O19">
        <v>0.97</v>
      </c>
      <c r="P19" t="s">
        <v>24</v>
      </c>
    </row>
    <row r="20" spans="1:33" x14ac:dyDescent="0.35">
      <c r="A20" t="s">
        <v>45</v>
      </c>
      <c r="B20">
        <v>19</v>
      </c>
      <c r="C20">
        <v>25</v>
      </c>
      <c r="D20" t="s">
        <v>32</v>
      </c>
      <c r="E20" t="s">
        <v>46</v>
      </c>
      <c r="F20">
        <v>2.91</v>
      </c>
      <c r="G20">
        <v>3</v>
      </c>
      <c r="H20">
        <v>79.400000000000006</v>
      </c>
      <c r="I20">
        <v>0.99</v>
      </c>
      <c r="J20" t="s">
        <v>18</v>
      </c>
      <c r="K20">
        <v>25</v>
      </c>
      <c r="L20">
        <v>21</v>
      </c>
      <c r="M20">
        <v>0.79</v>
      </c>
      <c r="N20">
        <v>0</v>
      </c>
      <c r="O20">
        <v>0.64</v>
      </c>
      <c r="P20" t="s">
        <v>24</v>
      </c>
    </row>
    <row r="21" spans="1:33" x14ac:dyDescent="0.35">
      <c r="A21" t="s">
        <v>47</v>
      </c>
      <c r="B21">
        <v>20</v>
      </c>
      <c r="C21">
        <v>20</v>
      </c>
      <c r="D21" t="s">
        <v>32</v>
      </c>
      <c r="E21" t="s">
        <v>30</v>
      </c>
      <c r="F21">
        <v>3.64</v>
      </c>
      <c r="G21">
        <v>6</v>
      </c>
      <c r="H21">
        <v>64.900000000000006</v>
      </c>
      <c r="I21">
        <v>0.79</v>
      </c>
      <c r="J21" t="s">
        <v>18</v>
      </c>
      <c r="K21">
        <v>18</v>
      </c>
      <c r="L21">
        <v>71</v>
      </c>
      <c r="M21">
        <v>0.97</v>
      </c>
      <c r="N21">
        <v>9</v>
      </c>
      <c r="O21">
        <v>0.75</v>
      </c>
      <c r="P21" t="s">
        <v>24</v>
      </c>
      <c r="V21">
        <f>COUNTIFS(E:E,"Engineering",P:P,"High")</f>
        <v>207</v>
      </c>
    </row>
    <row r="22" spans="1:33" x14ac:dyDescent="0.35">
      <c r="A22" t="s">
        <v>48</v>
      </c>
      <c r="B22">
        <v>21</v>
      </c>
      <c r="C22">
        <v>23</v>
      </c>
      <c r="D22" t="s">
        <v>16</v>
      </c>
      <c r="E22" t="s">
        <v>46</v>
      </c>
      <c r="F22">
        <v>3.11</v>
      </c>
      <c r="G22">
        <v>4</v>
      </c>
      <c r="H22">
        <v>72.3</v>
      </c>
      <c r="I22">
        <v>0.63</v>
      </c>
      <c r="J22" t="s">
        <v>23</v>
      </c>
      <c r="K22">
        <v>8</v>
      </c>
      <c r="L22">
        <v>51</v>
      </c>
      <c r="M22">
        <v>0.86</v>
      </c>
      <c r="N22">
        <v>0</v>
      </c>
      <c r="O22">
        <v>0.59</v>
      </c>
      <c r="P22" t="s">
        <v>19</v>
      </c>
    </row>
    <row r="23" spans="1:33" x14ac:dyDescent="0.35">
      <c r="A23" t="s">
        <v>49</v>
      </c>
      <c r="B23">
        <v>22</v>
      </c>
      <c r="C23">
        <v>22</v>
      </c>
      <c r="D23" t="s">
        <v>16</v>
      </c>
      <c r="E23" t="s">
        <v>22</v>
      </c>
      <c r="F23">
        <v>3.27</v>
      </c>
      <c r="G23">
        <v>4</v>
      </c>
      <c r="H23">
        <v>97</v>
      </c>
      <c r="I23">
        <v>0.82</v>
      </c>
      <c r="J23" t="s">
        <v>28</v>
      </c>
      <c r="K23">
        <v>19</v>
      </c>
      <c r="L23">
        <v>78</v>
      </c>
      <c r="M23">
        <v>0.84</v>
      </c>
      <c r="N23">
        <v>5</v>
      </c>
      <c r="O23">
        <v>0.9</v>
      </c>
      <c r="P23" t="s">
        <v>24</v>
      </c>
    </row>
    <row r="24" spans="1:33" x14ac:dyDescent="0.35">
      <c r="A24" t="s">
        <v>50</v>
      </c>
      <c r="B24">
        <v>23</v>
      </c>
      <c r="C24">
        <v>19</v>
      </c>
      <c r="D24" t="s">
        <v>32</v>
      </c>
      <c r="E24" t="s">
        <v>30</v>
      </c>
      <c r="F24">
        <v>3.05</v>
      </c>
      <c r="G24">
        <v>5</v>
      </c>
      <c r="H24">
        <v>66.5</v>
      </c>
      <c r="I24">
        <v>0.94</v>
      </c>
      <c r="J24" t="s">
        <v>18</v>
      </c>
      <c r="K24">
        <v>15</v>
      </c>
      <c r="L24">
        <v>67</v>
      </c>
      <c r="M24">
        <v>0.98</v>
      </c>
      <c r="N24">
        <v>6</v>
      </c>
      <c r="O24">
        <v>0.94</v>
      </c>
      <c r="P24" t="s">
        <v>41</v>
      </c>
    </row>
    <row r="25" spans="1:33" x14ac:dyDescent="0.35">
      <c r="A25" t="s">
        <v>51</v>
      </c>
      <c r="B25">
        <v>24</v>
      </c>
      <c r="C25">
        <v>25</v>
      </c>
      <c r="D25" t="s">
        <v>32</v>
      </c>
      <c r="E25" t="s">
        <v>22</v>
      </c>
      <c r="F25">
        <v>2.93</v>
      </c>
      <c r="G25">
        <v>6</v>
      </c>
      <c r="H25">
        <v>98.6</v>
      </c>
      <c r="I25">
        <v>1</v>
      </c>
      <c r="J25" t="s">
        <v>28</v>
      </c>
      <c r="K25">
        <v>16</v>
      </c>
      <c r="L25">
        <v>14</v>
      </c>
      <c r="M25">
        <v>0.9</v>
      </c>
      <c r="N25">
        <v>16</v>
      </c>
      <c r="O25">
        <v>0.93</v>
      </c>
      <c r="P25" t="s">
        <v>24</v>
      </c>
    </row>
    <row r="26" spans="1:33" x14ac:dyDescent="0.35">
      <c r="A26" t="s">
        <v>52</v>
      </c>
      <c r="B26">
        <v>25</v>
      </c>
      <c r="C26">
        <v>21</v>
      </c>
      <c r="D26" t="s">
        <v>16</v>
      </c>
      <c r="E26" t="s">
        <v>30</v>
      </c>
      <c r="F26">
        <v>2.4700000000000002</v>
      </c>
      <c r="G26">
        <v>3</v>
      </c>
      <c r="H26">
        <v>68.2</v>
      </c>
      <c r="I26">
        <v>0.77</v>
      </c>
      <c r="J26" t="s">
        <v>18</v>
      </c>
      <c r="K26">
        <v>21</v>
      </c>
      <c r="L26">
        <v>36</v>
      </c>
      <c r="M26">
        <v>0.56999999999999995</v>
      </c>
      <c r="N26">
        <v>8</v>
      </c>
      <c r="O26">
        <v>0.72</v>
      </c>
      <c r="P26" t="s">
        <v>19</v>
      </c>
    </row>
    <row r="27" spans="1:33" x14ac:dyDescent="0.35">
      <c r="A27" t="s">
        <v>53</v>
      </c>
      <c r="B27">
        <v>26</v>
      </c>
      <c r="C27">
        <v>23</v>
      </c>
      <c r="D27" t="s">
        <v>32</v>
      </c>
      <c r="E27" t="s">
        <v>30</v>
      </c>
      <c r="F27">
        <v>2.61</v>
      </c>
      <c r="G27">
        <v>6</v>
      </c>
      <c r="H27">
        <v>89.7</v>
      </c>
      <c r="I27">
        <v>0.73</v>
      </c>
      <c r="J27" t="s">
        <v>28</v>
      </c>
      <c r="K27">
        <v>12</v>
      </c>
      <c r="L27">
        <v>37</v>
      </c>
      <c r="M27">
        <v>0.67</v>
      </c>
      <c r="N27">
        <v>6</v>
      </c>
      <c r="O27">
        <v>0.88</v>
      </c>
      <c r="P27" t="s">
        <v>19</v>
      </c>
    </row>
    <row r="28" spans="1:33" x14ac:dyDescent="0.35">
      <c r="A28" t="s">
        <v>54</v>
      </c>
      <c r="B28">
        <v>27</v>
      </c>
      <c r="C28">
        <v>23</v>
      </c>
      <c r="D28" t="s">
        <v>21</v>
      </c>
      <c r="E28" t="s">
        <v>30</v>
      </c>
      <c r="F28">
        <v>2.58</v>
      </c>
      <c r="G28">
        <v>6</v>
      </c>
      <c r="H28">
        <v>81.900000000000006</v>
      </c>
      <c r="I28">
        <v>0.96</v>
      </c>
      <c r="J28" t="s">
        <v>23</v>
      </c>
      <c r="K28">
        <v>11</v>
      </c>
      <c r="L28">
        <v>35</v>
      </c>
      <c r="M28">
        <v>0.98</v>
      </c>
      <c r="N28">
        <v>16</v>
      </c>
      <c r="O28">
        <v>0.55000000000000004</v>
      </c>
      <c r="P28" t="s">
        <v>24</v>
      </c>
    </row>
    <row r="29" spans="1:33" x14ac:dyDescent="0.35">
      <c r="A29" t="s">
        <v>55</v>
      </c>
      <c r="B29">
        <v>28</v>
      </c>
      <c r="C29">
        <v>19</v>
      </c>
      <c r="D29" t="s">
        <v>32</v>
      </c>
      <c r="E29" t="s">
        <v>30</v>
      </c>
      <c r="F29">
        <v>3.13</v>
      </c>
      <c r="G29">
        <v>3</v>
      </c>
      <c r="H29">
        <v>95.4</v>
      </c>
      <c r="I29">
        <v>0.68</v>
      </c>
      <c r="J29" t="s">
        <v>28</v>
      </c>
      <c r="K29">
        <v>9</v>
      </c>
      <c r="L29">
        <v>58</v>
      </c>
      <c r="M29">
        <v>0.74</v>
      </c>
      <c r="N29">
        <v>2</v>
      </c>
      <c r="O29">
        <v>0.52</v>
      </c>
      <c r="P29" t="s">
        <v>19</v>
      </c>
    </row>
    <row r="30" spans="1:33" x14ac:dyDescent="0.35">
      <c r="A30" t="s">
        <v>56</v>
      </c>
      <c r="B30">
        <v>29</v>
      </c>
      <c r="C30">
        <v>25</v>
      </c>
      <c r="D30" t="s">
        <v>32</v>
      </c>
      <c r="E30" t="s">
        <v>22</v>
      </c>
      <c r="F30">
        <v>2.2400000000000002</v>
      </c>
      <c r="G30">
        <v>6</v>
      </c>
      <c r="H30">
        <v>82.2</v>
      </c>
      <c r="I30">
        <v>0.85</v>
      </c>
      <c r="J30" t="s">
        <v>18</v>
      </c>
      <c r="K30">
        <v>0</v>
      </c>
      <c r="L30">
        <v>30</v>
      </c>
      <c r="M30">
        <v>0.56000000000000005</v>
      </c>
      <c r="N30">
        <v>15</v>
      </c>
      <c r="O30">
        <v>0.88</v>
      </c>
      <c r="P30" t="s">
        <v>19</v>
      </c>
    </row>
    <row r="31" spans="1:33" x14ac:dyDescent="0.35">
      <c r="A31" t="s">
        <v>57</v>
      </c>
      <c r="B31">
        <v>30</v>
      </c>
      <c r="C31">
        <v>21</v>
      </c>
      <c r="D31" t="s">
        <v>21</v>
      </c>
      <c r="E31" t="s">
        <v>30</v>
      </c>
      <c r="F31">
        <v>3.83</v>
      </c>
      <c r="G31">
        <v>3</v>
      </c>
      <c r="H31">
        <v>81.400000000000006</v>
      </c>
      <c r="I31">
        <v>0.76</v>
      </c>
      <c r="J31" t="s">
        <v>28</v>
      </c>
      <c r="K31">
        <v>31</v>
      </c>
      <c r="L31">
        <v>10</v>
      </c>
      <c r="M31">
        <v>0.73</v>
      </c>
      <c r="N31">
        <v>4</v>
      </c>
      <c r="O31">
        <v>0.71</v>
      </c>
      <c r="P31" t="s">
        <v>24</v>
      </c>
    </row>
    <row r="32" spans="1:33" x14ac:dyDescent="0.35">
      <c r="A32" t="s">
        <v>58</v>
      </c>
      <c r="B32">
        <v>31</v>
      </c>
      <c r="C32">
        <v>22</v>
      </c>
      <c r="D32" t="s">
        <v>21</v>
      </c>
      <c r="E32" t="s">
        <v>30</v>
      </c>
      <c r="F32">
        <v>3.44</v>
      </c>
      <c r="G32">
        <v>3</v>
      </c>
      <c r="H32">
        <v>67.8</v>
      </c>
      <c r="I32">
        <v>0.62</v>
      </c>
      <c r="J32" t="s">
        <v>23</v>
      </c>
      <c r="K32">
        <v>29</v>
      </c>
      <c r="L32">
        <v>67</v>
      </c>
      <c r="M32">
        <v>0.85</v>
      </c>
      <c r="N32">
        <v>19</v>
      </c>
      <c r="O32">
        <v>1</v>
      </c>
      <c r="P32" t="s">
        <v>19</v>
      </c>
      <c r="AG32" s="3"/>
    </row>
    <row r="33" spans="1:33" x14ac:dyDescent="0.35">
      <c r="A33" t="s">
        <v>59</v>
      </c>
      <c r="B33">
        <v>32</v>
      </c>
      <c r="C33">
        <v>18</v>
      </c>
      <c r="D33" t="s">
        <v>16</v>
      </c>
      <c r="E33" t="s">
        <v>46</v>
      </c>
      <c r="F33">
        <v>2.8</v>
      </c>
      <c r="G33">
        <v>6</v>
      </c>
      <c r="H33">
        <v>66.599999999999994</v>
      </c>
      <c r="I33">
        <v>0.74</v>
      </c>
      <c r="J33" t="s">
        <v>23</v>
      </c>
      <c r="K33">
        <v>7</v>
      </c>
      <c r="L33">
        <v>88</v>
      </c>
      <c r="M33">
        <v>1</v>
      </c>
      <c r="N33">
        <v>17</v>
      </c>
      <c r="O33">
        <v>0.55000000000000004</v>
      </c>
      <c r="P33" t="s">
        <v>19</v>
      </c>
      <c r="AG33" s="3"/>
    </row>
    <row r="34" spans="1:33" x14ac:dyDescent="0.35">
      <c r="A34" t="s">
        <v>60</v>
      </c>
      <c r="B34">
        <v>33</v>
      </c>
      <c r="C34">
        <v>21</v>
      </c>
      <c r="D34" t="s">
        <v>16</v>
      </c>
      <c r="E34" t="s">
        <v>17</v>
      </c>
      <c r="F34">
        <v>2.3199999999999998</v>
      </c>
      <c r="G34">
        <v>6</v>
      </c>
      <c r="H34">
        <v>96.7</v>
      </c>
      <c r="I34">
        <v>0.71</v>
      </c>
      <c r="J34" t="s">
        <v>28</v>
      </c>
      <c r="K34">
        <v>20</v>
      </c>
      <c r="L34">
        <v>64</v>
      </c>
      <c r="M34">
        <v>0.66</v>
      </c>
      <c r="N34">
        <v>0</v>
      </c>
      <c r="O34">
        <v>0.93</v>
      </c>
      <c r="P34" t="s">
        <v>19</v>
      </c>
    </row>
    <row r="35" spans="1:33" x14ac:dyDescent="0.35">
      <c r="A35" t="s">
        <v>61</v>
      </c>
      <c r="B35">
        <v>34</v>
      </c>
      <c r="C35">
        <v>19</v>
      </c>
      <c r="D35" t="s">
        <v>21</v>
      </c>
      <c r="E35" t="s">
        <v>17</v>
      </c>
      <c r="F35">
        <v>3.76</v>
      </c>
      <c r="G35">
        <v>4</v>
      </c>
      <c r="H35">
        <v>73.099999999999994</v>
      </c>
      <c r="I35">
        <v>0.87</v>
      </c>
      <c r="J35" t="s">
        <v>18</v>
      </c>
      <c r="K35">
        <v>21</v>
      </c>
      <c r="L35">
        <v>35</v>
      </c>
      <c r="M35">
        <v>0.76</v>
      </c>
      <c r="N35">
        <v>3</v>
      </c>
      <c r="O35">
        <v>0.74</v>
      </c>
      <c r="P35" t="s">
        <v>41</v>
      </c>
    </row>
    <row r="36" spans="1:33" x14ac:dyDescent="0.35">
      <c r="A36" t="s">
        <v>62</v>
      </c>
      <c r="B36">
        <v>35</v>
      </c>
      <c r="C36">
        <v>23</v>
      </c>
      <c r="D36" t="s">
        <v>21</v>
      </c>
      <c r="E36" t="s">
        <v>46</v>
      </c>
      <c r="F36">
        <v>3.65</v>
      </c>
      <c r="G36">
        <v>4</v>
      </c>
      <c r="H36">
        <v>74.900000000000006</v>
      </c>
      <c r="I36">
        <v>0.98</v>
      </c>
      <c r="J36" t="s">
        <v>23</v>
      </c>
      <c r="K36">
        <v>17</v>
      </c>
      <c r="L36">
        <v>34</v>
      </c>
      <c r="M36">
        <v>0.94</v>
      </c>
      <c r="N36">
        <v>10</v>
      </c>
      <c r="O36">
        <v>0.91</v>
      </c>
      <c r="P36" t="s">
        <v>41</v>
      </c>
    </row>
    <row r="37" spans="1:33" x14ac:dyDescent="0.35">
      <c r="A37" t="s">
        <v>63</v>
      </c>
      <c r="B37">
        <v>36</v>
      </c>
      <c r="C37">
        <v>22</v>
      </c>
      <c r="D37" t="s">
        <v>16</v>
      </c>
      <c r="E37" t="s">
        <v>46</v>
      </c>
      <c r="F37">
        <v>3.44</v>
      </c>
      <c r="G37">
        <v>5</v>
      </c>
      <c r="H37">
        <v>90.4</v>
      </c>
      <c r="I37">
        <v>0.71</v>
      </c>
      <c r="J37" t="s">
        <v>23</v>
      </c>
      <c r="K37">
        <v>1</v>
      </c>
      <c r="L37">
        <v>86</v>
      </c>
      <c r="M37">
        <v>0.68</v>
      </c>
      <c r="N37">
        <v>19</v>
      </c>
      <c r="O37">
        <v>0.91</v>
      </c>
      <c r="P37" t="s">
        <v>19</v>
      </c>
    </row>
    <row r="38" spans="1:33" x14ac:dyDescent="0.35">
      <c r="A38" t="s">
        <v>64</v>
      </c>
      <c r="B38">
        <v>37</v>
      </c>
      <c r="C38">
        <v>21</v>
      </c>
      <c r="D38" t="s">
        <v>32</v>
      </c>
      <c r="E38" t="s">
        <v>22</v>
      </c>
      <c r="F38">
        <v>2.54</v>
      </c>
      <c r="G38">
        <v>5</v>
      </c>
      <c r="H38">
        <v>73.599999999999994</v>
      </c>
      <c r="I38">
        <v>0.92</v>
      </c>
      <c r="J38" t="s">
        <v>28</v>
      </c>
      <c r="K38">
        <v>8</v>
      </c>
      <c r="L38">
        <v>42</v>
      </c>
      <c r="M38">
        <v>0.55000000000000004</v>
      </c>
      <c r="N38">
        <v>8</v>
      </c>
      <c r="O38">
        <v>0.96</v>
      </c>
      <c r="P38" t="s">
        <v>24</v>
      </c>
    </row>
    <row r="39" spans="1:33" x14ac:dyDescent="0.35">
      <c r="A39" t="s">
        <v>65</v>
      </c>
      <c r="B39">
        <v>38</v>
      </c>
      <c r="C39">
        <v>18</v>
      </c>
      <c r="D39" t="s">
        <v>21</v>
      </c>
      <c r="E39" t="s">
        <v>22</v>
      </c>
      <c r="F39">
        <v>2.8</v>
      </c>
      <c r="G39">
        <v>6</v>
      </c>
      <c r="H39">
        <v>98.1</v>
      </c>
      <c r="I39">
        <v>0.62</v>
      </c>
      <c r="J39" t="s">
        <v>23</v>
      </c>
      <c r="K39">
        <v>2</v>
      </c>
      <c r="L39">
        <v>81</v>
      </c>
      <c r="M39">
        <v>0.97</v>
      </c>
      <c r="N39">
        <v>7</v>
      </c>
      <c r="O39">
        <v>0.65</v>
      </c>
      <c r="P39" t="s">
        <v>19</v>
      </c>
    </row>
    <row r="40" spans="1:33" x14ac:dyDescent="0.35">
      <c r="A40" t="s">
        <v>66</v>
      </c>
      <c r="B40">
        <v>39</v>
      </c>
      <c r="C40">
        <v>18</v>
      </c>
      <c r="D40" t="s">
        <v>16</v>
      </c>
      <c r="E40" t="s">
        <v>22</v>
      </c>
      <c r="F40">
        <v>2.21</v>
      </c>
      <c r="G40">
        <v>3</v>
      </c>
      <c r="H40">
        <v>89.5</v>
      </c>
      <c r="I40">
        <v>0.82</v>
      </c>
      <c r="J40" t="s">
        <v>23</v>
      </c>
      <c r="K40">
        <v>25</v>
      </c>
      <c r="L40">
        <v>78</v>
      </c>
      <c r="M40">
        <v>0.74</v>
      </c>
      <c r="N40">
        <v>7</v>
      </c>
      <c r="O40">
        <v>0.97</v>
      </c>
      <c r="P40" t="s">
        <v>19</v>
      </c>
    </row>
    <row r="41" spans="1:33" x14ac:dyDescent="0.35">
      <c r="A41" t="s">
        <v>67</v>
      </c>
      <c r="B41">
        <v>40</v>
      </c>
      <c r="C41">
        <v>20</v>
      </c>
      <c r="D41" t="s">
        <v>32</v>
      </c>
      <c r="E41" t="s">
        <v>46</v>
      </c>
      <c r="F41">
        <v>2.38</v>
      </c>
      <c r="G41">
        <v>5</v>
      </c>
      <c r="H41">
        <v>83.9</v>
      </c>
      <c r="I41">
        <v>0.63</v>
      </c>
      <c r="J41" t="s">
        <v>18</v>
      </c>
      <c r="K41">
        <v>20</v>
      </c>
      <c r="L41">
        <v>15</v>
      </c>
      <c r="M41">
        <v>0.75</v>
      </c>
      <c r="N41">
        <v>4</v>
      </c>
      <c r="O41">
        <v>0.57999999999999996</v>
      </c>
      <c r="P41" t="s">
        <v>19</v>
      </c>
    </row>
    <row r="42" spans="1:33" x14ac:dyDescent="0.35">
      <c r="A42" t="s">
        <v>68</v>
      </c>
      <c r="B42">
        <v>41</v>
      </c>
      <c r="C42">
        <v>20</v>
      </c>
      <c r="D42" t="s">
        <v>21</v>
      </c>
      <c r="E42" t="s">
        <v>46</v>
      </c>
      <c r="F42">
        <v>3.57</v>
      </c>
      <c r="G42">
        <v>6</v>
      </c>
      <c r="H42">
        <v>95.2</v>
      </c>
      <c r="I42">
        <v>0.97</v>
      </c>
      <c r="J42" t="s">
        <v>18</v>
      </c>
      <c r="K42">
        <v>29</v>
      </c>
      <c r="L42">
        <v>32</v>
      </c>
      <c r="M42">
        <v>0.81</v>
      </c>
      <c r="N42">
        <v>11</v>
      </c>
      <c r="O42">
        <v>0.54</v>
      </c>
      <c r="P42" t="s">
        <v>41</v>
      </c>
    </row>
    <row r="43" spans="1:33" x14ac:dyDescent="0.35">
      <c r="A43" t="s">
        <v>69</v>
      </c>
      <c r="B43">
        <v>42</v>
      </c>
      <c r="C43">
        <v>24</v>
      </c>
      <c r="D43" t="s">
        <v>32</v>
      </c>
      <c r="E43" t="s">
        <v>30</v>
      </c>
      <c r="F43">
        <v>3.43</v>
      </c>
      <c r="G43">
        <v>5</v>
      </c>
      <c r="H43">
        <v>62</v>
      </c>
      <c r="I43">
        <v>0.91</v>
      </c>
      <c r="J43" t="s">
        <v>18</v>
      </c>
      <c r="K43">
        <v>27</v>
      </c>
      <c r="L43">
        <v>39</v>
      </c>
      <c r="M43">
        <v>0.5</v>
      </c>
      <c r="N43">
        <v>0</v>
      </c>
      <c r="O43">
        <v>0.72</v>
      </c>
      <c r="P43" t="s">
        <v>41</v>
      </c>
    </row>
    <row r="44" spans="1:33" x14ac:dyDescent="0.35">
      <c r="A44" t="s">
        <v>70</v>
      </c>
      <c r="B44">
        <v>43</v>
      </c>
      <c r="C44">
        <v>19</v>
      </c>
      <c r="D44" t="s">
        <v>16</v>
      </c>
      <c r="E44" t="s">
        <v>22</v>
      </c>
      <c r="F44">
        <v>3.19</v>
      </c>
      <c r="G44">
        <v>3</v>
      </c>
      <c r="H44">
        <v>70.3</v>
      </c>
      <c r="I44">
        <v>0.86</v>
      </c>
      <c r="J44" t="s">
        <v>28</v>
      </c>
      <c r="K44">
        <v>35</v>
      </c>
      <c r="L44">
        <v>87</v>
      </c>
      <c r="M44">
        <v>0.97</v>
      </c>
      <c r="N44">
        <v>14</v>
      </c>
      <c r="O44">
        <v>0.91</v>
      </c>
      <c r="P44" t="s">
        <v>41</v>
      </c>
    </row>
    <row r="45" spans="1:33" x14ac:dyDescent="0.35">
      <c r="A45" t="s">
        <v>71</v>
      </c>
      <c r="B45">
        <v>44</v>
      </c>
      <c r="C45">
        <v>25</v>
      </c>
      <c r="D45" t="s">
        <v>21</v>
      </c>
      <c r="E45" t="s">
        <v>22</v>
      </c>
      <c r="F45">
        <v>3.79</v>
      </c>
      <c r="G45">
        <v>6</v>
      </c>
      <c r="H45">
        <v>78.599999999999994</v>
      </c>
      <c r="I45">
        <v>0.93</v>
      </c>
      <c r="J45" t="s">
        <v>23</v>
      </c>
      <c r="K45">
        <v>25</v>
      </c>
      <c r="L45">
        <v>63</v>
      </c>
      <c r="M45">
        <v>0.68</v>
      </c>
      <c r="N45">
        <v>17</v>
      </c>
      <c r="O45">
        <v>0.74</v>
      </c>
      <c r="P45" t="s">
        <v>41</v>
      </c>
    </row>
    <row r="46" spans="1:33" x14ac:dyDescent="0.35">
      <c r="A46" t="s">
        <v>72</v>
      </c>
      <c r="B46">
        <v>45</v>
      </c>
      <c r="C46">
        <v>21</v>
      </c>
      <c r="D46" t="s">
        <v>32</v>
      </c>
      <c r="E46" t="s">
        <v>22</v>
      </c>
      <c r="F46">
        <v>3.17</v>
      </c>
      <c r="G46">
        <v>3</v>
      </c>
      <c r="H46">
        <v>69.099999999999994</v>
      </c>
      <c r="I46">
        <v>0.86</v>
      </c>
      <c r="J46" t="s">
        <v>28</v>
      </c>
      <c r="K46">
        <v>33</v>
      </c>
      <c r="L46">
        <v>20</v>
      </c>
      <c r="M46">
        <v>0.7</v>
      </c>
      <c r="N46">
        <v>5</v>
      </c>
      <c r="O46">
        <v>0.91</v>
      </c>
      <c r="P46" t="s">
        <v>41</v>
      </c>
    </row>
    <row r="47" spans="1:33" x14ac:dyDescent="0.35">
      <c r="A47" t="s">
        <v>73</v>
      </c>
      <c r="B47">
        <v>46</v>
      </c>
      <c r="C47">
        <v>21</v>
      </c>
      <c r="D47" t="s">
        <v>21</v>
      </c>
      <c r="E47" t="s">
        <v>17</v>
      </c>
      <c r="F47">
        <v>2.93</v>
      </c>
      <c r="G47">
        <v>6</v>
      </c>
      <c r="H47">
        <v>89.8</v>
      </c>
      <c r="I47">
        <v>0.99</v>
      </c>
      <c r="J47" t="s">
        <v>23</v>
      </c>
      <c r="K47">
        <v>7</v>
      </c>
      <c r="L47">
        <v>40</v>
      </c>
      <c r="M47">
        <v>0.59</v>
      </c>
      <c r="N47">
        <v>9</v>
      </c>
      <c r="O47">
        <v>0.86</v>
      </c>
      <c r="P47" t="s">
        <v>24</v>
      </c>
    </row>
    <row r="48" spans="1:33" x14ac:dyDescent="0.35">
      <c r="A48" t="s">
        <v>74</v>
      </c>
      <c r="B48">
        <v>47</v>
      </c>
      <c r="C48">
        <v>25</v>
      </c>
      <c r="D48" t="s">
        <v>32</v>
      </c>
      <c r="E48" t="s">
        <v>30</v>
      </c>
      <c r="F48">
        <v>2.68</v>
      </c>
      <c r="G48">
        <v>5</v>
      </c>
      <c r="H48">
        <v>96.8</v>
      </c>
      <c r="I48">
        <v>0.89</v>
      </c>
      <c r="J48" t="s">
        <v>23</v>
      </c>
      <c r="K48">
        <v>9</v>
      </c>
      <c r="L48">
        <v>15</v>
      </c>
      <c r="M48">
        <v>0.69</v>
      </c>
      <c r="N48">
        <v>13</v>
      </c>
      <c r="O48">
        <v>0.6</v>
      </c>
      <c r="P48" t="s">
        <v>24</v>
      </c>
    </row>
    <row r="49" spans="1:16" x14ac:dyDescent="0.35">
      <c r="A49" t="s">
        <v>75</v>
      </c>
      <c r="B49">
        <v>48</v>
      </c>
      <c r="C49">
        <v>24</v>
      </c>
      <c r="D49" t="s">
        <v>16</v>
      </c>
      <c r="E49" t="s">
        <v>22</v>
      </c>
      <c r="F49">
        <v>3.88</v>
      </c>
      <c r="G49">
        <v>4</v>
      </c>
      <c r="H49">
        <v>77</v>
      </c>
      <c r="I49">
        <v>0.97</v>
      </c>
      <c r="J49" t="s">
        <v>23</v>
      </c>
      <c r="K49">
        <v>13</v>
      </c>
      <c r="L49">
        <v>20</v>
      </c>
      <c r="M49">
        <v>0.9</v>
      </c>
      <c r="N49">
        <v>7</v>
      </c>
      <c r="O49">
        <v>0.97</v>
      </c>
      <c r="P49" t="s">
        <v>41</v>
      </c>
    </row>
    <row r="50" spans="1:16" x14ac:dyDescent="0.35">
      <c r="A50" t="s">
        <v>76</v>
      </c>
      <c r="B50">
        <v>49</v>
      </c>
      <c r="C50">
        <v>23</v>
      </c>
      <c r="D50" t="s">
        <v>16</v>
      </c>
      <c r="E50" t="s">
        <v>22</v>
      </c>
      <c r="F50">
        <v>2.17</v>
      </c>
      <c r="G50">
        <v>5</v>
      </c>
      <c r="H50">
        <v>73.7</v>
      </c>
      <c r="I50">
        <v>0.81</v>
      </c>
      <c r="J50" t="s">
        <v>18</v>
      </c>
      <c r="K50">
        <v>39</v>
      </c>
      <c r="L50">
        <v>86</v>
      </c>
      <c r="M50">
        <v>0.9</v>
      </c>
      <c r="N50">
        <v>2</v>
      </c>
      <c r="O50">
        <v>0.53</v>
      </c>
      <c r="P50" t="s">
        <v>19</v>
      </c>
    </row>
    <row r="51" spans="1:16" x14ac:dyDescent="0.35">
      <c r="A51" t="s">
        <v>77</v>
      </c>
      <c r="B51">
        <v>50</v>
      </c>
      <c r="C51">
        <v>23</v>
      </c>
      <c r="D51" t="s">
        <v>21</v>
      </c>
      <c r="E51" t="s">
        <v>22</v>
      </c>
      <c r="F51">
        <v>3.86</v>
      </c>
      <c r="G51">
        <v>5</v>
      </c>
      <c r="H51">
        <v>98.5</v>
      </c>
      <c r="I51">
        <v>0.65</v>
      </c>
      <c r="J51" t="s">
        <v>28</v>
      </c>
      <c r="K51">
        <v>14</v>
      </c>
      <c r="L51">
        <v>21</v>
      </c>
      <c r="M51">
        <v>0.97</v>
      </c>
      <c r="N51">
        <v>18</v>
      </c>
      <c r="O51">
        <v>0.95</v>
      </c>
      <c r="P51" t="s">
        <v>19</v>
      </c>
    </row>
    <row r="52" spans="1:16" x14ac:dyDescent="0.35">
      <c r="A52" t="s">
        <v>78</v>
      </c>
      <c r="B52">
        <v>51</v>
      </c>
      <c r="C52">
        <v>24</v>
      </c>
      <c r="D52" t="s">
        <v>32</v>
      </c>
      <c r="E52" t="s">
        <v>17</v>
      </c>
      <c r="F52">
        <v>3.65</v>
      </c>
      <c r="G52">
        <v>4</v>
      </c>
      <c r="H52">
        <v>77.8</v>
      </c>
      <c r="I52">
        <v>0.81</v>
      </c>
      <c r="J52" t="s">
        <v>28</v>
      </c>
      <c r="K52">
        <v>16</v>
      </c>
      <c r="L52">
        <v>75</v>
      </c>
      <c r="M52">
        <v>0.7</v>
      </c>
      <c r="N52">
        <v>11</v>
      </c>
      <c r="O52">
        <v>0.65</v>
      </c>
      <c r="P52" t="s">
        <v>24</v>
      </c>
    </row>
    <row r="53" spans="1:16" x14ac:dyDescent="0.35">
      <c r="A53" t="s">
        <v>79</v>
      </c>
      <c r="B53">
        <v>52</v>
      </c>
      <c r="C53">
        <v>23</v>
      </c>
      <c r="D53" t="s">
        <v>21</v>
      </c>
      <c r="E53" t="s">
        <v>17</v>
      </c>
      <c r="F53">
        <v>2.2599999999999998</v>
      </c>
      <c r="G53">
        <v>4</v>
      </c>
      <c r="H53">
        <v>79.599999999999994</v>
      </c>
      <c r="I53">
        <v>0.65</v>
      </c>
      <c r="J53" t="s">
        <v>23</v>
      </c>
      <c r="K53">
        <v>17</v>
      </c>
      <c r="L53">
        <v>62</v>
      </c>
      <c r="M53">
        <v>0.85</v>
      </c>
      <c r="N53">
        <v>11</v>
      </c>
      <c r="O53">
        <v>0.75</v>
      </c>
      <c r="P53" t="s">
        <v>19</v>
      </c>
    </row>
    <row r="54" spans="1:16" x14ac:dyDescent="0.35">
      <c r="A54" t="s">
        <v>80</v>
      </c>
      <c r="B54">
        <v>53</v>
      </c>
      <c r="C54">
        <v>20</v>
      </c>
      <c r="D54" t="s">
        <v>21</v>
      </c>
      <c r="E54" t="s">
        <v>46</v>
      </c>
      <c r="F54">
        <v>3.13</v>
      </c>
      <c r="G54">
        <v>6</v>
      </c>
      <c r="H54">
        <v>74.099999999999994</v>
      </c>
      <c r="I54">
        <v>0.84</v>
      </c>
      <c r="J54" t="s">
        <v>28</v>
      </c>
      <c r="K54">
        <v>31</v>
      </c>
      <c r="L54">
        <v>45</v>
      </c>
      <c r="M54">
        <v>0.75</v>
      </c>
      <c r="N54">
        <v>14</v>
      </c>
      <c r="O54">
        <v>0.71</v>
      </c>
      <c r="P54" t="s">
        <v>24</v>
      </c>
    </row>
    <row r="55" spans="1:16" x14ac:dyDescent="0.35">
      <c r="A55" t="s">
        <v>81</v>
      </c>
      <c r="B55">
        <v>54</v>
      </c>
      <c r="C55">
        <v>21</v>
      </c>
      <c r="D55" t="s">
        <v>32</v>
      </c>
      <c r="E55" t="s">
        <v>30</v>
      </c>
      <c r="F55">
        <v>3.73</v>
      </c>
      <c r="G55">
        <v>6</v>
      </c>
      <c r="H55">
        <v>96.4</v>
      </c>
      <c r="I55">
        <v>0.79</v>
      </c>
      <c r="J55" t="s">
        <v>18</v>
      </c>
      <c r="K55">
        <v>37</v>
      </c>
      <c r="L55">
        <v>26</v>
      </c>
      <c r="M55">
        <v>0.9</v>
      </c>
      <c r="N55">
        <v>6</v>
      </c>
      <c r="O55">
        <v>0.59</v>
      </c>
      <c r="P55" t="s">
        <v>24</v>
      </c>
    </row>
    <row r="56" spans="1:16" x14ac:dyDescent="0.35">
      <c r="A56" t="s">
        <v>82</v>
      </c>
      <c r="B56">
        <v>55</v>
      </c>
      <c r="C56">
        <v>24</v>
      </c>
      <c r="D56" t="s">
        <v>32</v>
      </c>
      <c r="E56" t="s">
        <v>46</v>
      </c>
      <c r="F56">
        <v>3.14</v>
      </c>
      <c r="G56">
        <v>3</v>
      </c>
      <c r="H56">
        <v>82.8</v>
      </c>
      <c r="I56">
        <v>0.85</v>
      </c>
      <c r="J56" t="s">
        <v>28</v>
      </c>
      <c r="K56">
        <v>22</v>
      </c>
      <c r="L56">
        <v>37</v>
      </c>
      <c r="M56">
        <v>0.86</v>
      </c>
      <c r="N56">
        <v>3</v>
      </c>
      <c r="O56">
        <v>0.68</v>
      </c>
      <c r="P56" t="s">
        <v>41</v>
      </c>
    </row>
    <row r="57" spans="1:16" x14ac:dyDescent="0.35">
      <c r="A57" t="s">
        <v>83</v>
      </c>
      <c r="B57">
        <v>56</v>
      </c>
      <c r="C57">
        <v>21</v>
      </c>
      <c r="D57" t="s">
        <v>32</v>
      </c>
      <c r="E57" t="s">
        <v>30</v>
      </c>
      <c r="F57">
        <v>3.81</v>
      </c>
      <c r="G57">
        <v>3</v>
      </c>
      <c r="H57">
        <v>90.5</v>
      </c>
      <c r="I57">
        <v>0.6</v>
      </c>
      <c r="J57" t="s">
        <v>23</v>
      </c>
      <c r="K57">
        <v>22</v>
      </c>
      <c r="L57">
        <v>31</v>
      </c>
      <c r="M57">
        <v>0.68</v>
      </c>
      <c r="N57">
        <v>8</v>
      </c>
      <c r="O57">
        <v>0.6</v>
      </c>
      <c r="P57" t="s">
        <v>19</v>
      </c>
    </row>
    <row r="58" spans="1:16" x14ac:dyDescent="0.35">
      <c r="A58" t="s">
        <v>84</v>
      </c>
      <c r="B58">
        <v>57</v>
      </c>
      <c r="C58">
        <v>25</v>
      </c>
      <c r="D58" t="s">
        <v>16</v>
      </c>
      <c r="E58" t="s">
        <v>17</v>
      </c>
      <c r="F58">
        <v>3.89</v>
      </c>
      <c r="G58">
        <v>5</v>
      </c>
      <c r="H58">
        <v>92.5</v>
      </c>
      <c r="I58">
        <v>0.68</v>
      </c>
      <c r="J58" t="s">
        <v>18</v>
      </c>
      <c r="K58">
        <v>34</v>
      </c>
      <c r="L58">
        <v>16</v>
      </c>
      <c r="M58">
        <v>0.67</v>
      </c>
      <c r="N58">
        <v>15</v>
      </c>
      <c r="O58">
        <v>0.6</v>
      </c>
      <c r="P58" t="s">
        <v>19</v>
      </c>
    </row>
    <row r="59" spans="1:16" x14ac:dyDescent="0.35">
      <c r="A59" t="s">
        <v>85</v>
      </c>
      <c r="B59">
        <v>58</v>
      </c>
      <c r="C59">
        <v>18</v>
      </c>
      <c r="D59" t="s">
        <v>21</v>
      </c>
      <c r="E59" t="s">
        <v>22</v>
      </c>
      <c r="F59">
        <v>2.84</v>
      </c>
      <c r="G59">
        <v>4</v>
      </c>
      <c r="H59">
        <v>73.7</v>
      </c>
      <c r="I59">
        <v>0.8</v>
      </c>
      <c r="J59" t="s">
        <v>18</v>
      </c>
      <c r="K59">
        <v>38</v>
      </c>
      <c r="L59">
        <v>24</v>
      </c>
      <c r="M59">
        <v>0.63</v>
      </c>
      <c r="N59">
        <v>12</v>
      </c>
      <c r="O59">
        <v>0.59</v>
      </c>
      <c r="P59" t="s">
        <v>24</v>
      </c>
    </row>
    <row r="60" spans="1:16" x14ac:dyDescent="0.35">
      <c r="A60" t="s">
        <v>86</v>
      </c>
      <c r="B60">
        <v>59</v>
      </c>
      <c r="C60">
        <v>20</v>
      </c>
      <c r="D60" t="s">
        <v>21</v>
      </c>
      <c r="E60" t="s">
        <v>46</v>
      </c>
      <c r="F60">
        <v>2.75</v>
      </c>
      <c r="G60">
        <v>3</v>
      </c>
      <c r="H60">
        <v>77.3</v>
      </c>
      <c r="I60">
        <v>0.98</v>
      </c>
      <c r="J60" t="s">
        <v>23</v>
      </c>
      <c r="K60">
        <v>14</v>
      </c>
      <c r="L60">
        <v>20</v>
      </c>
      <c r="M60">
        <v>0.79</v>
      </c>
      <c r="N60">
        <v>3</v>
      </c>
      <c r="O60">
        <v>0.74</v>
      </c>
      <c r="P60" t="s">
        <v>24</v>
      </c>
    </row>
    <row r="61" spans="1:16" x14ac:dyDescent="0.35">
      <c r="A61" t="s">
        <v>87</v>
      </c>
      <c r="B61">
        <v>60</v>
      </c>
      <c r="C61">
        <v>22</v>
      </c>
      <c r="D61" t="s">
        <v>16</v>
      </c>
      <c r="E61" t="s">
        <v>22</v>
      </c>
      <c r="F61">
        <v>3.87</v>
      </c>
      <c r="G61">
        <v>5</v>
      </c>
      <c r="H61">
        <v>93.9</v>
      </c>
      <c r="I61">
        <v>0.75</v>
      </c>
      <c r="J61" t="s">
        <v>28</v>
      </c>
      <c r="K61">
        <v>23</v>
      </c>
      <c r="L61">
        <v>33</v>
      </c>
      <c r="M61">
        <v>0.98</v>
      </c>
      <c r="N61">
        <v>8</v>
      </c>
      <c r="O61">
        <v>0.9</v>
      </c>
      <c r="P61" t="s">
        <v>24</v>
      </c>
    </row>
    <row r="62" spans="1:16" x14ac:dyDescent="0.35">
      <c r="A62" t="s">
        <v>88</v>
      </c>
      <c r="B62">
        <v>61</v>
      </c>
      <c r="C62">
        <v>20</v>
      </c>
      <c r="D62" t="s">
        <v>32</v>
      </c>
      <c r="E62" t="s">
        <v>46</v>
      </c>
      <c r="F62">
        <v>3.35</v>
      </c>
      <c r="G62">
        <v>4</v>
      </c>
      <c r="H62">
        <v>74.5</v>
      </c>
      <c r="I62">
        <v>0.77</v>
      </c>
      <c r="J62" t="s">
        <v>23</v>
      </c>
      <c r="K62">
        <v>27</v>
      </c>
      <c r="L62">
        <v>76</v>
      </c>
      <c r="M62">
        <v>0.6</v>
      </c>
      <c r="N62">
        <v>17</v>
      </c>
      <c r="O62">
        <v>0.78</v>
      </c>
      <c r="P62" t="s">
        <v>24</v>
      </c>
    </row>
    <row r="63" spans="1:16" x14ac:dyDescent="0.35">
      <c r="A63" t="s">
        <v>89</v>
      </c>
      <c r="B63">
        <v>62</v>
      </c>
      <c r="C63">
        <v>24</v>
      </c>
      <c r="D63" t="s">
        <v>16</v>
      </c>
      <c r="E63" t="s">
        <v>17</v>
      </c>
      <c r="F63">
        <v>2.23</v>
      </c>
      <c r="G63">
        <v>6</v>
      </c>
      <c r="H63">
        <v>91.8</v>
      </c>
      <c r="I63">
        <v>0.89</v>
      </c>
      <c r="J63" t="s">
        <v>28</v>
      </c>
      <c r="K63">
        <v>15</v>
      </c>
      <c r="L63">
        <v>39</v>
      </c>
      <c r="M63">
        <v>0.55000000000000004</v>
      </c>
      <c r="N63">
        <v>14</v>
      </c>
      <c r="O63">
        <v>0.95</v>
      </c>
      <c r="P63" t="s">
        <v>19</v>
      </c>
    </row>
    <row r="64" spans="1:16" x14ac:dyDescent="0.35">
      <c r="A64" t="s">
        <v>90</v>
      </c>
      <c r="B64">
        <v>63</v>
      </c>
      <c r="C64">
        <v>22</v>
      </c>
      <c r="D64" t="s">
        <v>16</v>
      </c>
      <c r="E64" t="s">
        <v>17</v>
      </c>
      <c r="F64">
        <v>2.08</v>
      </c>
      <c r="G64">
        <v>5</v>
      </c>
      <c r="H64">
        <v>97.6</v>
      </c>
      <c r="I64">
        <v>0.84</v>
      </c>
      <c r="J64" t="s">
        <v>28</v>
      </c>
      <c r="K64">
        <v>15</v>
      </c>
      <c r="L64">
        <v>79</v>
      </c>
      <c r="M64">
        <v>0.56000000000000005</v>
      </c>
      <c r="N64">
        <v>14</v>
      </c>
      <c r="O64">
        <v>0.82</v>
      </c>
      <c r="P64" t="s">
        <v>19</v>
      </c>
    </row>
    <row r="65" spans="1:16" x14ac:dyDescent="0.35">
      <c r="A65" t="s">
        <v>91</v>
      </c>
      <c r="B65">
        <v>64</v>
      </c>
      <c r="C65">
        <v>18</v>
      </c>
      <c r="D65" t="s">
        <v>16</v>
      </c>
      <c r="E65" t="s">
        <v>17</v>
      </c>
      <c r="F65">
        <v>3.13</v>
      </c>
      <c r="G65">
        <v>6</v>
      </c>
      <c r="H65">
        <v>84.9</v>
      </c>
      <c r="I65">
        <v>0.72</v>
      </c>
      <c r="J65" t="s">
        <v>18</v>
      </c>
      <c r="K65">
        <v>39</v>
      </c>
      <c r="L65">
        <v>75</v>
      </c>
      <c r="M65">
        <v>0.89</v>
      </c>
      <c r="N65">
        <v>5</v>
      </c>
      <c r="O65">
        <v>0.84</v>
      </c>
      <c r="P65" t="s">
        <v>19</v>
      </c>
    </row>
    <row r="66" spans="1:16" x14ac:dyDescent="0.35">
      <c r="A66" t="s">
        <v>92</v>
      </c>
      <c r="B66">
        <v>65</v>
      </c>
      <c r="C66">
        <v>24</v>
      </c>
      <c r="D66" t="s">
        <v>21</v>
      </c>
      <c r="E66" t="s">
        <v>46</v>
      </c>
      <c r="F66">
        <v>3.86</v>
      </c>
      <c r="G66">
        <v>3</v>
      </c>
      <c r="H66">
        <v>89.7</v>
      </c>
      <c r="I66">
        <v>0.76</v>
      </c>
      <c r="J66" t="s">
        <v>23</v>
      </c>
      <c r="K66">
        <v>38</v>
      </c>
      <c r="L66">
        <v>70</v>
      </c>
      <c r="M66">
        <v>0.68</v>
      </c>
      <c r="N66">
        <v>10</v>
      </c>
      <c r="O66">
        <v>0.83</v>
      </c>
      <c r="P66" t="s">
        <v>24</v>
      </c>
    </row>
    <row r="67" spans="1:16" x14ac:dyDescent="0.35">
      <c r="A67" t="s">
        <v>93</v>
      </c>
      <c r="B67">
        <v>66</v>
      </c>
      <c r="C67">
        <v>19</v>
      </c>
      <c r="D67" t="s">
        <v>16</v>
      </c>
      <c r="E67" t="s">
        <v>30</v>
      </c>
      <c r="F67">
        <v>3.69</v>
      </c>
      <c r="G67">
        <v>3</v>
      </c>
      <c r="H67">
        <v>92.2</v>
      </c>
      <c r="I67">
        <v>0.69</v>
      </c>
      <c r="J67" t="s">
        <v>18</v>
      </c>
      <c r="K67">
        <v>5</v>
      </c>
      <c r="L67">
        <v>87</v>
      </c>
      <c r="M67">
        <v>0.61</v>
      </c>
      <c r="N67">
        <v>7</v>
      </c>
      <c r="O67">
        <v>0.72</v>
      </c>
      <c r="P67" t="s">
        <v>19</v>
      </c>
    </row>
    <row r="68" spans="1:16" x14ac:dyDescent="0.35">
      <c r="A68" t="s">
        <v>94</v>
      </c>
      <c r="B68">
        <v>67</v>
      </c>
      <c r="C68">
        <v>21</v>
      </c>
      <c r="D68" t="s">
        <v>21</v>
      </c>
      <c r="E68" t="s">
        <v>46</v>
      </c>
      <c r="F68">
        <v>3.35</v>
      </c>
      <c r="G68">
        <v>4</v>
      </c>
      <c r="H68">
        <v>93.8</v>
      </c>
      <c r="I68">
        <v>0.99</v>
      </c>
      <c r="J68" t="s">
        <v>23</v>
      </c>
      <c r="K68">
        <v>1</v>
      </c>
      <c r="L68">
        <v>50</v>
      </c>
      <c r="M68">
        <v>0.68</v>
      </c>
      <c r="N68">
        <v>16</v>
      </c>
      <c r="O68">
        <v>0.84</v>
      </c>
      <c r="P68" t="s">
        <v>41</v>
      </c>
    </row>
    <row r="69" spans="1:16" x14ac:dyDescent="0.35">
      <c r="A69" t="s">
        <v>95</v>
      </c>
      <c r="B69">
        <v>68</v>
      </c>
      <c r="C69">
        <v>18</v>
      </c>
      <c r="D69" t="s">
        <v>21</v>
      </c>
      <c r="E69" t="s">
        <v>30</v>
      </c>
      <c r="F69">
        <v>2.2799999999999998</v>
      </c>
      <c r="G69">
        <v>5</v>
      </c>
      <c r="H69">
        <v>75.8</v>
      </c>
      <c r="I69">
        <v>0.65</v>
      </c>
      <c r="J69" t="s">
        <v>23</v>
      </c>
      <c r="K69">
        <v>12</v>
      </c>
      <c r="L69">
        <v>60</v>
      </c>
      <c r="M69">
        <v>0.82</v>
      </c>
      <c r="N69">
        <v>16</v>
      </c>
      <c r="O69">
        <v>0.53</v>
      </c>
      <c r="P69" t="s">
        <v>19</v>
      </c>
    </row>
    <row r="70" spans="1:16" x14ac:dyDescent="0.35">
      <c r="A70" t="s">
        <v>96</v>
      </c>
      <c r="B70">
        <v>69</v>
      </c>
      <c r="C70">
        <v>21</v>
      </c>
      <c r="D70" t="s">
        <v>21</v>
      </c>
      <c r="E70" t="s">
        <v>46</v>
      </c>
      <c r="F70">
        <v>2.5099999999999998</v>
      </c>
      <c r="G70">
        <v>6</v>
      </c>
      <c r="H70">
        <v>62.1</v>
      </c>
      <c r="I70">
        <v>0.75</v>
      </c>
      <c r="J70" t="s">
        <v>18</v>
      </c>
      <c r="K70">
        <v>8</v>
      </c>
      <c r="L70">
        <v>53</v>
      </c>
      <c r="M70">
        <v>0.77</v>
      </c>
      <c r="N70">
        <v>17</v>
      </c>
      <c r="O70">
        <v>0.93</v>
      </c>
      <c r="P70" t="s">
        <v>24</v>
      </c>
    </row>
    <row r="71" spans="1:16" x14ac:dyDescent="0.35">
      <c r="A71" t="s">
        <v>97</v>
      </c>
      <c r="B71">
        <v>70</v>
      </c>
      <c r="C71">
        <v>23</v>
      </c>
      <c r="D71" t="s">
        <v>32</v>
      </c>
      <c r="E71" t="s">
        <v>46</v>
      </c>
      <c r="F71">
        <v>3.75</v>
      </c>
      <c r="G71">
        <v>4</v>
      </c>
      <c r="H71">
        <v>76.099999999999994</v>
      </c>
      <c r="I71">
        <v>0.61</v>
      </c>
      <c r="J71" t="s">
        <v>23</v>
      </c>
      <c r="K71">
        <v>33</v>
      </c>
      <c r="L71">
        <v>22</v>
      </c>
      <c r="M71">
        <v>0.87</v>
      </c>
      <c r="N71">
        <v>3</v>
      </c>
      <c r="O71">
        <v>0.89</v>
      </c>
      <c r="P71" t="s">
        <v>19</v>
      </c>
    </row>
    <row r="72" spans="1:16" x14ac:dyDescent="0.35">
      <c r="A72" t="s">
        <v>98</v>
      </c>
      <c r="B72">
        <v>71</v>
      </c>
      <c r="C72">
        <v>19</v>
      </c>
      <c r="D72" t="s">
        <v>21</v>
      </c>
      <c r="E72" t="s">
        <v>17</v>
      </c>
      <c r="F72">
        <v>2.37</v>
      </c>
      <c r="G72">
        <v>3</v>
      </c>
      <c r="H72">
        <v>87</v>
      </c>
      <c r="I72">
        <v>0.69</v>
      </c>
      <c r="J72" t="s">
        <v>23</v>
      </c>
      <c r="K72">
        <v>16</v>
      </c>
      <c r="L72">
        <v>21</v>
      </c>
      <c r="M72">
        <v>0.67</v>
      </c>
      <c r="N72">
        <v>14</v>
      </c>
      <c r="O72">
        <v>0.62</v>
      </c>
      <c r="P72" t="s">
        <v>19</v>
      </c>
    </row>
    <row r="73" spans="1:16" x14ac:dyDescent="0.35">
      <c r="A73" t="s">
        <v>99</v>
      </c>
      <c r="B73">
        <v>72</v>
      </c>
      <c r="C73">
        <v>19</v>
      </c>
      <c r="D73" t="s">
        <v>21</v>
      </c>
      <c r="E73" t="s">
        <v>22</v>
      </c>
      <c r="F73">
        <v>2.56</v>
      </c>
      <c r="G73">
        <v>3</v>
      </c>
      <c r="H73">
        <v>78</v>
      </c>
      <c r="I73">
        <v>0.91</v>
      </c>
      <c r="J73" t="s">
        <v>28</v>
      </c>
      <c r="K73">
        <v>26</v>
      </c>
      <c r="L73">
        <v>18</v>
      </c>
      <c r="M73">
        <v>0.73</v>
      </c>
      <c r="N73">
        <v>1</v>
      </c>
      <c r="O73">
        <v>0.88</v>
      </c>
      <c r="P73" t="s">
        <v>24</v>
      </c>
    </row>
    <row r="74" spans="1:16" x14ac:dyDescent="0.35">
      <c r="A74" t="s">
        <v>100</v>
      </c>
      <c r="B74">
        <v>73</v>
      </c>
      <c r="C74">
        <v>18</v>
      </c>
      <c r="D74" t="s">
        <v>32</v>
      </c>
      <c r="E74" t="s">
        <v>22</v>
      </c>
      <c r="F74">
        <v>2.2599999999999998</v>
      </c>
      <c r="G74">
        <v>5</v>
      </c>
      <c r="H74">
        <v>90</v>
      </c>
      <c r="I74">
        <v>0.68</v>
      </c>
      <c r="J74" t="s">
        <v>23</v>
      </c>
      <c r="K74">
        <v>28</v>
      </c>
      <c r="L74">
        <v>57</v>
      </c>
      <c r="M74">
        <v>0.55000000000000004</v>
      </c>
      <c r="N74">
        <v>1</v>
      </c>
      <c r="O74">
        <v>0.51</v>
      </c>
      <c r="P74" t="s">
        <v>19</v>
      </c>
    </row>
    <row r="75" spans="1:16" x14ac:dyDescent="0.35">
      <c r="A75" t="s">
        <v>101</v>
      </c>
      <c r="B75">
        <v>74</v>
      </c>
      <c r="C75">
        <v>19</v>
      </c>
      <c r="D75" t="s">
        <v>21</v>
      </c>
      <c r="E75" t="s">
        <v>30</v>
      </c>
      <c r="F75">
        <v>3.35</v>
      </c>
      <c r="G75">
        <v>6</v>
      </c>
      <c r="H75">
        <v>74.3</v>
      </c>
      <c r="I75">
        <v>0.63</v>
      </c>
      <c r="J75" t="s">
        <v>23</v>
      </c>
      <c r="K75">
        <v>36</v>
      </c>
      <c r="L75">
        <v>58</v>
      </c>
      <c r="M75">
        <v>0.54</v>
      </c>
      <c r="N75">
        <v>9</v>
      </c>
      <c r="O75">
        <v>0.61</v>
      </c>
      <c r="P75" t="s">
        <v>19</v>
      </c>
    </row>
    <row r="76" spans="1:16" x14ac:dyDescent="0.35">
      <c r="A76" t="s">
        <v>102</v>
      </c>
      <c r="B76">
        <v>75</v>
      </c>
      <c r="C76">
        <v>22</v>
      </c>
      <c r="D76" t="s">
        <v>16</v>
      </c>
      <c r="E76" t="s">
        <v>22</v>
      </c>
      <c r="F76">
        <v>3.89</v>
      </c>
      <c r="G76">
        <v>5</v>
      </c>
      <c r="H76">
        <v>85.4</v>
      </c>
      <c r="I76">
        <v>0.79</v>
      </c>
      <c r="J76" t="s">
        <v>18</v>
      </c>
      <c r="K76">
        <v>21</v>
      </c>
      <c r="L76">
        <v>62</v>
      </c>
      <c r="M76">
        <v>0.73</v>
      </c>
      <c r="N76">
        <v>2</v>
      </c>
      <c r="O76">
        <v>0.53</v>
      </c>
      <c r="P76" t="s">
        <v>24</v>
      </c>
    </row>
    <row r="77" spans="1:16" x14ac:dyDescent="0.35">
      <c r="A77" t="s">
        <v>103</v>
      </c>
      <c r="B77">
        <v>76</v>
      </c>
      <c r="C77">
        <v>19</v>
      </c>
      <c r="D77" t="s">
        <v>16</v>
      </c>
      <c r="E77" t="s">
        <v>46</v>
      </c>
      <c r="F77">
        <v>2.54</v>
      </c>
      <c r="G77">
        <v>6</v>
      </c>
      <c r="H77">
        <v>67.5</v>
      </c>
      <c r="I77">
        <v>0.6</v>
      </c>
      <c r="J77" t="s">
        <v>18</v>
      </c>
      <c r="K77">
        <v>23</v>
      </c>
      <c r="L77">
        <v>65</v>
      </c>
      <c r="M77">
        <v>0.65</v>
      </c>
      <c r="N77">
        <v>7</v>
      </c>
      <c r="O77">
        <v>0.89</v>
      </c>
      <c r="P77" t="s">
        <v>19</v>
      </c>
    </row>
    <row r="78" spans="1:16" x14ac:dyDescent="0.35">
      <c r="A78" t="s">
        <v>104</v>
      </c>
      <c r="B78">
        <v>77</v>
      </c>
      <c r="C78">
        <v>21</v>
      </c>
      <c r="D78" t="s">
        <v>21</v>
      </c>
      <c r="E78" t="s">
        <v>46</v>
      </c>
      <c r="F78">
        <v>2.95</v>
      </c>
      <c r="G78">
        <v>6</v>
      </c>
      <c r="H78">
        <v>90</v>
      </c>
      <c r="I78">
        <v>0.63</v>
      </c>
      <c r="J78" t="s">
        <v>23</v>
      </c>
      <c r="K78">
        <v>6</v>
      </c>
      <c r="L78">
        <v>49</v>
      </c>
      <c r="M78">
        <v>0.81</v>
      </c>
      <c r="N78">
        <v>19</v>
      </c>
      <c r="O78">
        <v>0.88</v>
      </c>
      <c r="P78" t="s">
        <v>19</v>
      </c>
    </row>
    <row r="79" spans="1:16" x14ac:dyDescent="0.35">
      <c r="A79" t="s">
        <v>105</v>
      </c>
      <c r="B79">
        <v>78</v>
      </c>
      <c r="C79">
        <v>21</v>
      </c>
      <c r="D79" t="s">
        <v>32</v>
      </c>
      <c r="E79" t="s">
        <v>17</v>
      </c>
      <c r="F79">
        <v>3.27</v>
      </c>
      <c r="G79">
        <v>5</v>
      </c>
      <c r="H79">
        <v>81.8</v>
      </c>
      <c r="I79">
        <v>0.92</v>
      </c>
      <c r="J79" t="s">
        <v>28</v>
      </c>
      <c r="K79">
        <v>33</v>
      </c>
      <c r="L79">
        <v>33</v>
      </c>
      <c r="M79">
        <v>0.52</v>
      </c>
      <c r="N79">
        <v>6</v>
      </c>
      <c r="O79">
        <v>0.91</v>
      </c>
      <c r="P79" t="s">
        <v>41</v>
      </c>
    </row>
    <row r="80" spans="1:16" x14ac:dyDescent="0.35">
      <c r="A80" t="s">
        <v>106</v>
      </c>
      <c r="B80">
        <v>79</v>
      </c>
      <c r="C80">
        <v>24</v>
      </c>
      <c r="D80" t="s">
        <v>16</v>
      </c>
      <c r="E80" t="s">
        <v>17</v>
      </c>
      <c r="F80">
        <v>4</v>
      </c>
      <c r="G80">
        <v>4</v>
      </c>
      <c r="H80">
        <v>68.2</v>
      </c>
      <c r="I80">
        <v>0.91</v>
      </c>
      <c r="J80" t="s">
        <v>28</v>
      </c>
      <c r="K80">
        <v>11</v>
      </c>
      <c r="L80">
        <v>81</v>
      </c>
      <c r="M80">
        <v>0.56000000000000005</v>
      </c>
      <c r="N80">
        <v>11</v>
      </c>
      <c r="O80">
        <v>0.5</v>
      </c>
      <c r="P80" t="s">
        <v>41</v>
      </c>
    </row>
    <row r="81" spans="1:16" x14ac:dyDescent="0.35">
      <c r="A81" t="s">
        <v>107</v>
      </c>
      <c r="B81">
        <v>80</v>
      </c>
      <c r="C81">
        <v>21</v>
      </c>
      <c r="D81" t="s">
        <v>32</v>
      </c>
      <c r="E81" t="s">
        <v>22</v>
      </c>
      <c r="F81">
        <v>2.21</v>
      </c>
      <c r="G81">
        <v>5</v>
      </c>
      <c r="H81">
        <v>71.7</v>
      </c>
      <c r="I81">
        <v>0.97</v>
      </c>
      <c r="J81" t="s">
        <v>18</v>
      </c>
      <c r="K81">
        <v>22</v>
      </c>
      <c r="L81">
        <v>42</v>
      </c>
      <c r="M81">
        <v>0.93</v>
      </c>
      <c r="N81">
        <v>18</v>
      </c>
      <c r="O81">
        <v>0.75</v>
      </c>
      <c r="P81" t="s">
        <v>19</v>
      </c>
    </row>
    <row r="82" spans="1:16" x14ac:dyDescent="0.35">
      <c r="A82" t="s">
        <v>108</v>
      </c>
      <c r="B82">
        <v>81</v>
      </c>
      <c r="C82">
        <v>24</v>
      </c>
      <c r="D82" t="s">
        <v>32</v>
      </c>
      <c r="E82" t="s">
        <v>30</v>
      </c>
      <c r="F82">
        <v>3</v>
      </c>
      <c r="G82">
        <v>5</v>
      </c>
      <c r="H82">
        <v>89.9</v>
      </c>
      <c r="I82">
        <v>0.94</v>
      </c>
      <c r="J82" t="s">
        <v>23</v>
      </c>
      <c r="K82">
        <v>14</v>
      </c>
      <c r="L82">
        <v>32</v>
      </c>
      <c r="M82">
        <v>0.78</v>
      </c>
      <c r="N82">
        <v>14</v>
      </c>
      <c r="O82">
        <v>0.85</v>
      </c>
      <c r="P82" t="s">
        <v>41</v>
      </c>
    </row>
    <row r="83" spans="1:16" x14ac:dyDescent="0.35">
      <c r="A83" t="s">
        <v>109</v>
      </c>
      <c r="B83">
        <v>82</v>
      </c>
      <c r="C83">
        <v>21</v>
      </c>
      <c r="D83" t="s">
        <v>16</v>
      </c>
      <c r="E83" t="s">
        <v>22</v>
      </c>
      <c r="F83">
        <v>2.77</v>
      </c>
      <c r="G83">
        <v>3</v>
      </c>
      <c r="H83">
        <v>79.3</v>
      </c>
      <c r="I83">
        <v>0.87</v>
      </c>
      <c r="J83" t="s">
        <v>23</v>
      </c>
      <c r="K83">
        <v>32</v>
      </c>
      <c r="L83">
        <v>86</v>
      </c>
      <c r="M83">
        <v>0.86</v>
      </c>
      <c r="N83">
        <v>13</v>
      </c>
      <c r="O83">
        <v>0.57999999999999996</v>
      </c>
      <c r="P83" t="s">
        <v>24</v>
      </c>
    </row>
    <row r="84" spans="1:16" x14ac:dyDescent="0.35">
      <c r="A84" t="s">
        <v>110</v>
      </c>
      <c r="B84">
        <v>83</v>
      </c>
      <c r="C84">
        <v>22</v>
      </c>
      <c r="D84" t="s">
        <v>32</v>
      </c>
      <c r="E84" t="s">
        <v>22</v>
      </c>
      <c r="F84">
        <v>3.73</v>
      </c>
      <c r="G84">
        <v>3</v>
      </c>
      <c r="H84">
        <v>68.599999999999994</v>
      </c>
      <c r="I84">
        <v>0.62</v>
      </c>
      <c r="J84" t="s">
        <v>28</v>
      </c>
      <c r="K84">
        <v>12</v>
      </c>
      <c r="L84">
        <v>63</v>
      </c>
      <c r="M84">
        <v>0.92</v>
      </c>
      <c r="N84">
        <v>15</v>
      </c>
      <c r="O84">
        <v>0.82</v>
      </c>
      <c r="P84" t="s">
        <v>19</v>
      </c>
    </row>
    <row r="85" spans="1:16" x14ac:dyDescent="0.35">
      <c r="A85" t="s">
        <v>111</v>
      </c>
      <c r="B85">
        <v>84</v>
      </c>
      <c r="C85">
        <v>25</v>
      </c>
      <c r="D85" t="s">
        <v>16</v>
      </c>
      <c r="E85" t="s">
        <v>22</v>
      </c>
      <c r="F85">
        <v>2.95</v>
      </c>
      <c r="G85">
        <v>5</v>
      </c>
      <c r="H85">
        <v>98.7</v>
      </c>
      <c r="I85">
        <v>0.91</v>
      </c>
      <c r="J85" t="s">
        <v>28</v>
      </c>
      <c r="K85">
        <v>22</v>
      </c>
      <c r="L85">
        <v>62</v>
      </c>
      <c r="M85">
        <v>0.73</v>
      </c>
      <c r="N85">
        <v>13</v>
      </c>
      <c r="O85">
        <v>0.54</v>
      </c>
      <c r="P85" t="s">
        <v>24</v>
      </c>
    </row>
    <row r="86" spans="1:16" x14ac:dyDescent="0.35">
      <c r="A86" t="s">
        <v>112</v>
      </c>
      <c r="B86">
        <v>85</v>
      </c>
      <c r="C86">
        <v>24</v>
      </c>
      <c r="D86" t="s">
        <v>32</v>
      </c>
      <c r="E86" t="s">
        <v>22</v>
      </c>
      <c r="F86">
        <v>2.2200000000000002</v>
      </c>
      <c r="G86">
        <v>5</v>
      </c>
      <c r="H86">
        <v>88.6</v>
      </c>
      <c r="I86">
        <v>0.94</v>
      </c>
      <c r="J86" t="s">
        <v>28</v>
      </c>
      <c r="K86">
        <v>37</v>
      </c>
      <c r="L86">
        <v>58</v>
      </c>
      <c r="M86">
        <v>0.88</v>
      </c>
      <c r="N86">
        <v>2</v>
      </c>
      <c r="O86">
        <v>0.59</v>
      </c>
      <c r="P86" t="s">
        <v>19</v>
      </c>
    </row>
    <row r="87" spans="1:16" x14ac:dyDescent="0.35">
      <c r="A87" t="s">
        <v>113</v>
      </c>
      <c r="B87">
        <v>86</v>
      </c>
      <c r="C87">
        <v>20</v>
      </c>
      <c r="D87" t="s">
        <v>16</v>
      </c>
      <c r="E87" t="s">
        <v>46</v>
      </c>
      <c r="F87">
        <v>3.27</v>
      </c>
      <c r="G87">
        <v>3</v>
      </c>
      <c r="H87">
        <v>98.3</v>
      </c>
      <c r="I87">
        <v>0.92</v>
      </c>
      <c r="J87" t="s">
        <v>18</v>
      </c>
      <c r="K87">
        <v>31</v>
      </c>
      <c r="L87">
        <v>87</v>
      </c>
      <c r="M87">
        <v>0.76</v>
      </c>
      <c r="N87">
        <v>17</v>
      </c>
      <c r="O87">
        <v>0.74</v>
      </c>
      <c r="P87" t="s">
        <v>41</v>
      </c>
    </row>
    <row r="88" spans="1:16" x14ac:dyDescent="0.35">
      <c r="A88" t="s">
        <v>114</v>
      </c>
      <c r="B88">
        <v>87</v>
      </c>
      <c r="C88">
        <v>23</v>
      </c>
      <c r="D88" t="s">
        <v>21</v>
      </c>
      <c r="E88" t="s">
        <v>30</v>
      </c>
      <c r="F88">
        <v>3.54</v>
      </c>
      <c r="G88">
        <v>6</v>
      </c>
      <c r="H88">
        <v>77.099999999999994</v>
      </c>
      <c r="I88">
        <v>0.8</v>
      </c>
      <c r="J88" t="s">
        <v>23</v>
      </c>
      <c r="K88">
        <v>34</v>
      </c>
      <c r="L88">
        <v>87</v>
      </c>
      <c r="M88">
        <v>0.61</v>
      </c>
      <c r="N88">
        <v>5</v>
      </c>
      <c r="O88">
        <v>0.83</v>
      </c>
      <c r="P88" t="s">
        <v>24</v>
      </c>
    </row>
    <row r="89" spans="1:16" x14ac:dyDescent="0.35">
      <c r="A89" t="s">
        <v>115</v>
      </c>
      <c r="B89">
        <v>88</v>
      </c>
      <c r="C89">
        <v>18</v>
      </c>
      <c r="D89" t="s">
        <v>16</v>
      </c>
      <c r="E89" t="s">
        <v>46</v>
      </c>
      <c r="F89">
        <v>2.0099999999999998</v>
      </c>
      <c r="G89">
        <v>5</v>
      </c>
      <c r="H89">
        <v>79</v>
      </c>
      <c r="I89">
        <v>0.69</v>
      </c>
      <c r="J89" t="s">
        <v>18</v>
      </c>
      <c r="K89">
        <v>0</v>
      </c>
      <c r="L89">
        <v>89</v>
      </c>
      <c r="M89">
        <v>0.67</v>
      </c>
      <c r="N89">
        <v>16</v>
      </c>
      <c r="O89">
        <v>0.56999999999999995</v>
      </c>
      <c r="P89" t="s">
        <v>19</v>
      </c>
    </row>
    <row r="90" spans="1:16" x14ac:dyDescent="0.35">
      <c r="A90" t="s">
        <v>116</v>
      </c>
      <c r="B90">
        <v>89</v>
      </c>
      <c r="C90">
        <v>21</v>
      </c>
      <c r="D90" t="s">
        <v>16</v>
      </c>
      <c r="E90" t="s">
        <v>30</v>
      </c>
      <c r="F90">
        <v>3.72</v>
      </c>
      <c r="G90">
        <v>4</v>
      </c>
      <c r="H90">
        <v>95.9</v>
      </c>
      <c r="I90">
        <v>0.94</v>
      </c>
      <c r="J90" t="s">
        <v>23</v>
      </c>
      <c r="K90">
        <v>4</v>
      </c>
      <c r="L90">
        <v>58</v>
      </c>
      <c r="M90">
        <v>0.75</v>
      </c>
      <c r="N90">
        <v>13</v>
      </c>
      <c r="O90">
        <v>0.59</v>
      </c>
      <c r="P90" t="s">
        <v>41</v>
      </c>
    </row>
    <row r="91" spans="1:16" x14ac:dyDescent="0.35">
      <c r="A91" t="s">
        <v>117</v>
      </c>
      <c r="B91">
        <v>90</v>
      </c>
      <c r="C91">
        <v>19</v>
      </c>
      <c r="D91" t="s">
        <v>16</v>
      </c>
      <c r="E91" t="s">
        <v>17</v>
      </c>
      <c r="F91">
        <v>2.37</v>
      </c>
      <c r="G91">
        <v>4</v>
      </c>
      <c r="H91">
        <v>81</v>
      </c>
      <c r="I91">
        <v>0.89</v>
      </c>
      <c r="J91" t="s">
        <v>18</v>
      </c>
      <c r="K91">
        <v>12</v>
      </c>
      <c r="L91">
        <v>69</v>
      </c>
      <c r="M91">
        <v>0.66</v>
      </c>
      <c r="N91">
        <v>13</v>
      </c>
      <c r="O91">
        <v>0.6</v>
      </c>
      <c r="P91" t="s">
        <v>19</v>
      </c>
    </row>
    <row r="92" spans="1:16" x14ac:dyDescent="0.35">
      <c r="A92" t="s">
        <v>118</v>
      </c>
      <c r="B92">
        <v>91</v>
      </c>
      <c r="C92">
        <v>25</v>
      </c>
      <c r="D92" t="s">
        <v>16</v>
      </c>
      <c r="E92" t="s">
        <v>22</v>
      </c>
      <c r="F92">
        <v>3.1</v>
      </c>
      <c r="G92">
        <v>4</v>
      </c>
      <c r="H92">
        <v>88.3</v>
      </c>
      <c r="I92">
        <v>0.99</v>
      </c>
      <c r="J92" t="s">
        <v>23</v>
      </c>
      <c r="K92">
        <v>4</v>
      </c>
      <c r="L92">
        <v>74</v>
      </c>
      <c r="M92">
        <v>0.67</v>
      </c>
      <c r="N92">
        <v>19</v>
      </c>
      <c r="O92">
        <v>0.62</v>
      </c>
      <c r="P92" t="s">
        <v>41</v>
      </c>
    </row>
    <row r="93" spans="1:16" x14ac:dyDescent="0.35">
      <c r="A93" t="s">
        <v>119</v>
      </c>
      <c r="B93">
        <v>92</v>
      </c>
      <c r="C93">
        <v>21</v>
      </c>
      <c r="D93" t="s">
        <v>32</v>
      </c>
      <c r="E93" t="s">
        <v>46</v>
      </c>
      <c r="F93">
        <v>2.83</v>
      </c>
      <c r="G93">
        <v>5</v>
      </c>
      <c r="H93">
        <v>70.099999999999994</v>
      </c>
      <c r="I93">
        <v>0.66</v>
      </c>
      <c r="J93" t="s">
        <v>28</v>
      </c>
      <c r="K93">
        <v>31</v>
      </c>
      <c r="L93">
        <v>41</v>
      </c>
      <c r="M93">
        <v>0.67</v>
      </c>
      <c r="N93">
        <v>12</v>
      </c>
      <c r="O93">
        <v>0.61</v>
      </c>
      <c r="P93" t="s">
        <v>19</v>
      </c>
    </row>
    <row r="94" spans="1:16" x14ac:dyDescent="0.35">
      <c r="A94" t="s">
        <v>120</v>
      </c>
      <c r="B94">
        <v>93</v>
      </c>
      <c r="C94">
        <v>19</v>
      </c>
      <c r="D94" t="s">
        <v>21</v>
      </c>
      <c r="E94" t="s">
        <v>30</v>
      </c>
      <c r="F94">
        <v>3.44</v>
      </c>
      <c r="G94">
        <v>6</v>
      </c>
      <c r="H94">
        <v>77.900000000000006</v>
      </c>
      <c r="I94">
        <v>0.69</v>
      </c>
      <c r="J94" t="s">
        <v>28</v>
      </c>
      <c r="K94">
        <v>20</v>
      </c>
      <c r="L94">
        <v>88</v>
      </c>
      <c r="M94">
        <v>0.56000000000000005</v>
      </c>
      <c r="N94">
        <v>2</v>
      </c>
      <c r="O94">
        <v>0.7</v>
      </c>
      <c r="P94" t="s">
        <v>19</v>
      </c>
    </row>
    <row r="95" spans="1:16" x14ac:dyDescent="0.35">
      <c r="A95" t="s">
        <v>121</v>
      </c>
      <c r="B95">
        <v>94</v>
      </c>
      <c r="C95">
        <v>23</v>
      </c>
      <c r="D95" t="s">
        <v>16</v>
      </c>
      <c r="E95" t="s">
        <v>17</v>
      </c>
      <c r="F95">
        <v>2.74</v>
      </c>
      <c r="G95">
        <v>6</v>
      </c>
      <c r="H95">
        <v>64.900000000000006</v>
      </c>
      <c r="I95">
        <v>0.68</v>
      </c>
      <c r="J95" t="s">
        <v>28</v>
      </c>
      <c r="K95">
        <v>23</v>
      </c>
      <c r="L95">
        <v>30</v>
      </c>
      <c r="M95">
        <v>0.54</v>
      </c>
      <c r="N95">
        <v>12</v>
      </c>
      <c r="O95">
        <v>0.83</v>
      </c>
      <c r="P95" t="s">
        <v>19</v>
      </c>
    </row>
    <row r="96" spans="1:16" x14ac:dyDescent="0.35">
      <c r="A96" t="s">
        <v>122</v>
      </c>
      <c r="B96">
        <v>95</v>
      </c>
      <c r="C96">
        <v>23</v>
      </c>
      <c r="D96" t="s">
        <v>32</v>
      </c>
      <c r="E96" t="s">
        <v>17</v>
      </c>
      <c r="F96">
        <v>3.74</v>
      </c>
      <c r="G96">
        <v>3</v>
      </c>
      <c r="H96">
        <v>68.2</v>
      </c>
      <c r="I96">
        <v>0.92</v>
      </c>
      <c r="J96" t="s">
        <v>18</v>
      </c>
      <c r="K96">
        <v>17</v>
      </c>
      <c r="L96">
        <v>27</v>
      </c>
      <c r="M96">
        <v>0.52</v>
      </c>
      <c r="N96">
        <v>1</v>
      </c>
      <c r="O96">
        <v>0.72</v>
      </c>
      <c r="P96" t="s">
        <v>41</v>
      </c>
    </row>
    <row r="97" spans="1:16" x14ac:dyDescent="0.35">
      <c r="A97" t="s">
        <v>123</v>
      </c>
      <c r="B97">
        <v>96</v>
      </c>
      <c r="C97">
        <v>23</v>
      </c>
      <c r="D97" t="s">
        <v>21</v>
      </c>
      <c r="E97" t="s">
        <v>22</v>
      </c>
      <c r="F97">
        <v>3.46</v>
      </c>
      <c r="G97">
        <v>5</v>
      </c>
      <c r="H97">
        <v>60</v>
      </c>
      <c r="I97">
        <v>0.67</v>
      </c>
      <c r="J97" t="s">
        <v>28</v>
      </c>
      <c r="K97">
        <v>20</v>
      </c>
      <c r="L97">
        <v>69</v>
      </c>
      <c r="M97">
        <v>0.56000000000000005</v>
      </c>
      <c r="N97">
        <v>8</v>
      </c>
      <c r="O97">
        <v>0.89</v>
      </c>
      <c r="P97" t="s">
        <v>19</v>
      </c>
    </row>
    <row r="98" spans="1:16" x14ac:dyDescent="0.35">
      <c r="A98" t="s">
        <v>124</v>
      </c>
      <c r="B98">
        <v>97</v>
      </c>
      <c r="C98">
        <v>19</v>
      </c>
      <c r="D98" t="s">
        <v>21</v>
      </c>
      <c r="E98" t="s">
        <v>30</v>
      </c>
      <c r="F98">
        <v>3.3</v>
      </c>
      <c r="G98">
        <v>6</v>
      </c>
      <c r="H98">
        <v>61.6</v>
      </c>
      <c r="I98">
        <v>0.63</v>
      </c>
      <c r="J98" t="s">
        <v>23</v>
      </c>
      <c r="K98">
        <v>9</v>
      </c>
      <c r="L98">
        <v>22</v>
      </c>
      <c r="M98">
        <v>0.67</v>
      </c>
      <c r="N98">
        <v>12</v>
      </c>
      <c r="O98">
        <v>0.86</v>
      </c>
      <c r="P98" t="s">
        <v>19</v>
      </c>
    </row>
    <row r="99" spans="1:16" x14ac:dyDescent="0.35">
      <c r="A99" t="s">
        <v>125</v>
      </c>
      <c r="B99">
        <v>98</v>
      </c>
      <c r="C99">
        <v>21</v>
      </c>
      <c r="D99" t="s">
        <v>21</v>
      </c>
      <c r="E99" t="s">
        <v>46</v>
      </c>
      <c r="F99">
        <v>3.59</v>
      </c>
      <c r="G99">
        <v>5</v>
      </c>
      <c r="H99">
        <v>99.1</v>
      </c>
      <c r="I99">
        <v>1</v>
      </c>
      <c r="J99" t="s">
        <v>18</v>
      </c>
      <c r="K99">
        <v>23</v>
      </c>
      <c r="L99">
        <v>33</v>
      </c>
      <c r="M99">
        <v>0.8</v>
      </c>
      <c r="N99">
        <v>7</v>
      </c>
      <c r="O99">
        <v>0.56000000000000005</v>
      </c>
      <c r="P99" t="s">
        <v>41</v>
      </c>
    </row>
    <row r="100" spans="1:16" x14ac:dyDescent="0.35">
      <c r="A100" t="s">
        <v>126</v>
      </c>
      <c r="B100">
        <v>99</v>
      </c>
      <c r="C100">
        <v>23</v>
      </c>
      <c r="D100" t="s">
        <v>21</v>
      </c>
      <c r="E100" t="s">
        <v>22</v>
      </c>
      <c r="F100">
        <v>3.51</v>
      </c>
      <c r="G100">
        <v>3</v>
      </c>
      <c r="H100">
        <v>69.7</v>
      </c>
      <c r="I100">
        <v>0.61</v>
      </c>
      <c r="J100" t="s">
        <v>23</v>
      </c>
      <c r="K100">
        <v>39</v>
      </c>
      <c r="L100">
        <v>39</v>
      </c>
      <c r="M100">
        <v>0.59</v>
      </c>
      <c r="N100">
        <v>15</v>
      </c>
      <c r="O100">
        <v>0.52</v>
      </c>
      <c r="P100" t="s">
        <v>19</v>
      </c>
    </row>
    <row r="101" spans="1:16" x14ac:dyDescent="0.35">
      <c r="A101" t="s">
        <v>127</v>
      </c>
      <c r="B101">
        <v>100</v>
      </c>
      <c r="C101">
        <v>22</v>
      </c>
      <c r="D101" t="s">
        <v>16</v>
      </c>
      <c r="E101" t="s">
        <v>46</v>
      </c>
      <c r="F101">
        <v>2.0699999999999998</v>
      </c>
      <c r="G101">
        <v>3</v>
      </c>
      <c r="H101">
        <v>86.5</v>
      </c>
      <c r="I101">
        <v>0.93</v>
      </c>
      <c r="J101" t="s">
        <v>18</v>
      </c>
      <c r="K101">
        <v>20</v>
      </c>
      <c r="L101">
        <v>11</v>
      </c>
      <c r="M101">
        <v>0.94</v>
      </c>
      <c r="N101">
        <v>2</v>
      </c>
      <c r="O101">
        <v>0.94</v>
      </c>
      <c r="P101" t="s">
        <v>19</v>
      </c>
    </row>
    <row r="102" spans="1:16" x14ac:dyDescent="0.35">
      <c r="A102" t="s">
        <v>128</v>
      </c>
      <c r="B102">
        <v>101</v>
      </c>
      <c r="C102">
        <v>24</v>
      </c>
      <c r="D102" t="s">
        <v>16</v>
      </c>
      <c r="E102" t="s">
        <v>17</v>
      </c>
      <c r="F102">
        <v>2.79</v>
      </c>
      <c r="G102">
        <v>3</v>
      </c>
      <c r="H102">
        <v>93.6</v>
      </c>
      <c r="I102">
        <v>0.75</v>
      </c>
      <c r="J102" t="s">
        <v>23</v>
      </c>
      <c r="K102">
        <v>24</v>
      </c>
      <c r="L102">
        <v>34</v>
      </c>
      <c r="M102">
        <v>0.9</v>
      </c>
      <c r="N102">
        <v>12</v>
      </c>
      <c r="O102">
        <v>0.54</v>
      </c>
      <c r="P102" t="s">
        <v>24</v>
      </c>
    </row>
    <row r="103" spans="1:16" x14ac:dyDescent="0.35">
      <c r="A103" t="s">
        <v>129</v>
      </c>
      <c r="B103">
        <v>102</v>
      </c>
      <c r="C103">
        <v>19</v>
      </c>
      <c r="D103" t="s">
        <v>32</v>
      </c>
      <c r="E103" t="s">
        <v>46</v>
      </c>
      <c r="F103">
        <v>3.86</v>
      </c>
      <c r="G103">
        <v>4</v>
      </c>
      <c r="H103">
        <v>82</v>
      </c>
      <c r="I103">
        <v>0.94</v>
      </c>
      <c r="J103" t="s">
        <v>23</v>
      </c>
      <c r="K103">
        <v>22</v>
      </c>
      <c r="L103">
        <v>59</v>
      </c>
      <c r="M103">
        <v>0.76</v>
      </c>
      <c r="N103">
        <v>3</v>
      </c>
      <c r="O103">
        <v>0.56999999999999995</v>
      </c>
      <c r="P103" t="s">
        <v>41</v>
      </c>
    </row>
    <row r="104" spans="1:16" x14ac:dyDescent="0.35">
      <c r="A104" t="s">
        <v>130</v>
      </c>
      <c r="B104">
        <v>103</v>
      </c>
      <c r="C104">
        <v>19</v>
      </c>
      <c r="D104" t="s">
        <v>32</v>
      </c>
      <c r="E104" t="s">
        <v>46</v>
      </c>
      <c r="F104">
        <v>2.25</v>
      </c>
      <c r="G104">
        <v>5</v>
      </c>
      <c r="H104">
        <v>66.099999999999994</v>
      </c>
      <c r="I104">
        <v>0.82</v>
      </c>
      <c r="J104" t="s">
        <v>18</v>
      </c>
      <c r="K104">
        <v>21</v>
      </c>
      <c r="L104">
        <v>23</v>
      </c>
      <c r="M104">
        <v>0.86</v>
      </c>
      <c r="N104">
        <v>17</v>
      </c>
      <c r="O104">
        <v>0.51</v>
      </c>
      <c r="P104" t="s">
        <v>19</v>
      </c>
    </row>
    <row r="105" spans="1:16" x14ac:dyDescent="0.35">
      <c r="A105" t="s">
        <v>131</v>
      </c>
      <c r="B105">
        <v>104</v>
      </c>
      <c r="C105">
        <v>21</v>
      </c>
      <c r="D105" t="s">
        <v>32</v>
      </c>
      <c r="E105" t="s">
        <v>22</v>
      </c>
      <c r="F105">
        <v>3.47</v>
      </c>
      <c r="G105">
        <v>3</v>
      </c>
      <c r="H105">
        <v>89.1</v>
      </c>
      <c r="I105">
        <v>0.96</v>
      </c>
      <c r="J105" t="s">
        <v>18</v>
      </c>
      <c r="K105">
        <v>3</v>
      </c>
      <c r="L105">
        <v>15</v>
      </c>
      <c r="M105">
        <v>0.68</v>
      </c>
      <c r="N105">
        <v>1</v>
      </c>
      <c r="O105">
        <v>0.81</v>
      </c>
      <c r="P105" t="s">
        <v>41</v>
      </c>
    </row>
    <row r="106" spans="1:16" x14ac:dyDescent="0.35">
      <c r="A106" t="s">
        <v>132</v>
      </c>
      <c r="B106">
        <v>105</v>
      </c>
      <c r="C106">
        <v>19</v>
      </c>
      <c r="D106" t="s">
        <v>21</v>
      </c>
      <c r="E106" t="s">
        <v>46</v>
      </c>
      <c r="F106">
        <v>3.95</v>
      </c>
      <c r="G106">
        <v>5</v>
      </c>
      <c r="H106">
        <v>84</v>
      </c>
      <c r="I106">
        <v>0.97</v>
      </c>
      <c r="J106" t="s">
        <v>28</v>
      </c>
      <c r="K106">
        <v>33</v>
      </c>
      <c r="L106">
        <v>85</v>
      </c>
      <c r="M106">
        <v>0.52</v>
      </c>
      <c r="N106">
        <v>19</v>
      </c>
      <c r="O106">
        <v>0.79</v>
      </c>
      <c r="P106" t="s">
        <v>41</v>
      </c>
    </row>
    <row r="107" spans="1:16" x14ac:dyDescent="0.35">
      <c r="A107" t="s">
        <v>133</v>
      </c>
      <c r="B107">
        <v>106</v>
      </c>
      <c r="C107">
        <v>19</v>
      </c>
      <c r="D107" t="s">
        <v>21</v>
      </c>
      <c r="E107" t="s">
        <v>22</v>
      </c>
      <c r="F107">
        <v>2.1</v>
      </c>
      <c r="G107">
        <v>4</v>
      </c>
      <c r="H107">
        <v>89.3</v>
      </c>
      <c r="I107">
        <v>0.6</v>
      </c>
      <c r="J107" t="s">
        <v>28</v>
      </c>
      <c r="K107">
        <v>5</v>
      </c>
      <c r="L107">
        <v>39</v>
      </c>
      <c r="M107">
        <v>0.95</v>
      </c>
      <c r="N107">
        <v>14</v>
      </c>
      <c r="O107">
        <v>0.99</v>
      </c>
      <c r="P107" t="s">
        <v>19</v>
      </c>
    </row>
    <row r="108" spans="1:16" x14ac:dyDescent="0.35">
      <c r="A108" t="s">
        <v>134</v>
      </c>
      <c r="B108">
        <v>107</v>
      </c>
      <c r="C108">
        <v>23</v>
      </c>
      <c r="D108" t="s">
        <v>16</v>
      </c>
      <c r="E108" t="s">
        <v>17</v>
      </c>
      <c r="F108">
        <v>3.36</v>
      </c>
      <c r="G108">
        <v>4</v>
      </c>
      <c r="H108">
        <v>90.8</v>
      </c>
      <c r="I108">
        <v>0.63</v>
      </c>
      <c r="J108" t="s">
        <v>23</v>
      </c>
      <c r="K108">
        <v>27</v>
      </c>
      <c r="L108">
        <v>39</v>
      </c>
      <c r="M108">
        <v>0.56000000000000005</v>
      </c>
      <c r="N108">
        <v>16</v>
      </c>
      <c r="O108">
        <v>0.94</v>
      </c>
      <c r="P108" t="s">
        <v>19</v>
      </c>
    </row>
    <row r="109" spans="1:16" x14ac:dyDescent="0.35">
      <c r="A109" t="s">
        <v>135</v>
      </c>
      <c r="B109">
        <v>108</v>
      </c>
      <c r="C109">
        <v>21</v>
      </c>
      <c r="D109" t="s">
        <v>21</v>
      </c>
      <c r="E109" t="s">
        <v>22</v>
      </c>
      <c r="F109">
        <v>2.94</v>
      </c>
      <c r="G109">
        <v>3</v>
      </c>
      <c r="H109">
        <v>99</v>
      </c>
      <c r="I109">
        <v>0.7</v>
      </c>
      <c r="J109" t="s">
        <v>23</v>
      </c>
      <c r="K109">
        <v>30</v>
      </c>
      <c r="L109">
        <v>47</v>
      </c>
      <c r="M109">
        <v>0.97</v>
      </c>
      <c r="N109">
        <v>9</v>
      </c>
      <c r="O109">
        <v>0.71</v>
      </c>
      <c r="P109" t="s">
        <v>19</v>
      </c>
    </row>
    <row r="110" spans="1:16" x14ac:dyDescent="0.35">
      <c r="A110" t="s">
        <v>136</v>
      </c>
      <c r="B110">
        <v>109</v>
      </c>
      <c r="C110">
        <v>23</v>
      </c>
      <c r="D110" t="s">
        <v>21</v>
      </c>
      <c r="E110" t="s">
        <v>22</v>
      </c>
      <c r="F110">
        <v>3.16</v>
      </c>
      <c r="G110">
        <v>3</v>
      </c>
      <c r="H110">
        <v>82.9</v>
      </c>
      <c r="I110">
        <v>0.87</v>
      </c>
      <c r="J110" t="s">
        <v>23</v>
      </c>
      <c r="K110">
        <v>34</v>
      </c>
      <c r="L110">
        <v>67</v>
      </c>
      <c r="M110">
        <v>0.79</v>
      </c>
      <c r="N110">
        <v>0</v>
      </c>
      <c r="O110">
        <v>0.69</v>
      </c>
      <c r="P110" t="s">
        <v>41</v>
      </c>
    </row>
    <row r="111" spans="1:16" x14ac:dyDescent="0.35">
      <c r="A111" t="s">
        <v>137</v>
      </c>
      <c r="B111">
        <v>110</v>
      </c>
      <c r="C111">
        <v>24</v>
      </c>
      <c r="D111" t="s">
        <v>21</v>
      </c>
      <c r="E111" t="s">
        <v>30</v>
      </c>
      <c r="F111">
        <v>2.17</v>
      </c>
      <c r="G111">
        <v>6</v>
      </c>
      <c r="H111">
        <v>73.7</v>
      </c>
      <c r="I111">
        <v>0.96</v>
      </c>
      <c r="J111" t="s">
        <v>18</v>
      </c>
      <c r="K111">
        <v>38</v>
      </c>
      <c r="L111">
        <v>50</v>
      </c>
      <c r="M111">
        <v>0.65</v>
      </c>
      <c r="N111">
        <v>5</v>
      </c>
      <c r="O111">
        <v>0.65</v>
      </c>
      <c r="P111" t="s">
        <v>19</v>
      </c>
    </row>
    <row r="112" spans="1:16" x14ac:dyDescent="0.35">
      <c r="A112" t="s">
        <v>138</v>
      </c>
      <c r="B112">
        <v>111</v>
      </c>
      <c r="C112">
        <v>25</v>
      </c>
      <c r="D112" t="s">
        <v>32</v>
      </c>
      <c r="E112" t="s">
        <v>46</v>
      </c>
      <c r="F112">
        <v>2.09</v>
      </c>
      <c r="G112">
        <v>5</v>
      </c>
      <c r="H112">
        <v>85.9</v>
      </c>
      <c r="I112">
        <v>0.78</v>
      </c>
      <c r="J112" t="s">
        <v>18</v>
      </c>
      <c r="K112">
        <v>22</v>
      </c>
      <c r="L112">
        <v>66</v>
      </c>
      <c r="M112">
        <v>0.75</v>
      </c>
      <c r="N112">
        <v>2</v>
      </c>
      <c r="O112">
        <v>0.57999999999999996</v>
      </c>
      <c r="P112" t="s">
        <v>19</v>
      </c>
    </row>
    <row r="113" spans="1:16" x14ac:dyDescent="0.35">
      <c r="A113" t="s">
        <v>139</v>
      </c>
      <c r="B113">
        <v>112</v>
      </c>
      <c r="C113">
        <v>24</v>
      </c>
      <c r="D113" t="s">
        <v>32</v>
      </c>
      <c r="E113" t="s">
        <v>17</v>
      </c>
      <c r="F113">
        <v>3.33</v>
      </c>
      <c r="G113">
        <v>3</v>
      </c>
      <c r="H113">
        <v>62.7</v>
      </c>
      <c r="I113">
        <v>0.84</v>
      </c>
      <c r="J113" t="s">
        <v>28</v>
      </c>
      <c r="K113">
        <v>5</v>
      </c>
      <c r="L113">
        <v>45</v>
      </c>
      <c r="M113">
        <v>0.75</v>
      </c>
      <c r="N113">
        <v>18</v>
      </c>
      <c r="O113">
        <v>0.56999999999999995</v>
      </c>
      <c r="P113" t="s">
        <v>24</v>
      </c>
    </row>
    <row r="114" spans="1:16" x14ac:dyDescent="0.35">
      <c r="A114" t="s">
        <v>140</v>
      </c>
      <c r="B114">
        <v>113</v>
      </c>
      <c r="C114">
        <v>25</v>
      </c>
      <c r="D114" t="s">
        <v>16</v>
      </c>
      <c r="E114" t="s">
        <v>22</v>
      </c>
      <c r="F114">
        <v>3.65</v>
      </c>
      <c r="G114">
        <v>6</v>
      </c>
      <c r="H114">
        <v>95.9</v>
      </c>
      <c r="I114">
        <v>0.68</v>
      </c>
      <c r="J114" t="s">
        <v>23</v>
      </c>
      <c r="K114">
        <v>15</v>
      </c>
      <c r="L114">
        <v>73</v>
      </c>
      <c r="M114">
        <v>0.51</v>
      </c>
      <c r="N114">
        <v>6</v>
      </c>
      <c r="O114">
        <v>0.56999999999999995</v>
      </c>
      <c r="P114" t="s">
        <v>19</v>
      </c>
    </row>
    <row r="115" spans="1:16" x14ac:dyDescent="0.35">
      <c r="A115" t="s">
        <v>141</v>
      </c>
      <c r="B115">
        <v>114</v>
      </c>
      <c r="C115">
        <v>23</v>
      </c>
      <c r="D115" t="s">
        <v>21</v>
      </c>
      <c r="E115" t="s">
        <v>17</v>
      </c>
      <c r="F115">
        <v>3.56</v>
      </c>
      <c r="G115">
        <v>5</v>
      </c>
      <c r="H115">
        <v>64.8</v>
      </c>
      <c r="I115">
        <v>0.92</v>
      </c>
      <c r="J115" t="s">
        <v>28</v>
      </c>
      <c r="K115">
        <v>1</v>
      </c>
      <c r="L115">
        <v>25</v>
      </c>
      <c r="M115">
        <v>0.68</v>
      </c>
      <c r="N115">
        <v>12</v>
      </c>
      <c r="O115">
        <v>0.56000000000000005</v>
      </c>
      <c r="P115" t="s">
        <v>41</v>
      </c>
    </row>
    <row r="116" spans="1:16" x14ac:dyDescent="0.35">
      <c r="A116" t="s">
        <v>142</v>
      </c>
      <c r="B116">
        <v>115</v>
      </c>
      <c r="C116">
        <v>24</v>
      </c>
      <c r="D116" t="s">
        <v>21</v>
      </c>
      <c r="E116" t="s">
        <v>30</v>
      </c>
      <c r="F116">
        <v>3.09</v>
      </c>
      <c r="G116">
        <v>3</v>
      </c>
      <c r="H116">
        <v>73.099999999999994</v>
      </c>
      <c r="I116">
        <v>0.99</v>
      </c>
      <c r="J116" t="s">
        <v>18</v>
      </c>
      <c r="K116">
        <v>23</v>
      </c>
      <c r="L116">
        <v>87</v>
      </c>
      <c r="M116">
        <v>0.87</v>
      </c>
      <c r="N116">
        <v>12</v>
      </c>
      <c r="O116">
        <v>0.62</v>
      </c>
      <c r="P116" t="s">
        <v>41</v>
      </c>
    </row>
    <row r="117" spans="1:16" x14ac:dyDescent="0.35">
      <c r="A117" t="s">
        <v>143</v>
      </c>
      <c r="B117">
        <v>116</v>
      </c>
      <c r="C117">
        <v>21</v>
      </c>
      <c r="D117" t="s">
        <v>16</v>
      </c>
      <c r="E117" t="s">
        <v>46</v>
      </c>
      <c r="F117">
        <v>2.2000000000000002</v>
      </c>
      <c r="G117">
        <v>6</v>
      </c>
      <c r="H117">
        <v>92.6</v>
      </c>
      <c r="I117">
        <v>0.71</v>
      </c>
      <c r="J117" t="s">
        <v>18</v>
      </c>
      <c r="K117">
        <v>16</v>
      </c>
      <c r="L117">
        <v>81</v>
      </c>
      <c r="M117">
        <v>0.76</v>
      </c>
      <c r="N117">
        <v>16</v>
      </c>
      <c r="O117">
        <v>0.65</v>
      </c>
      <c r="P117" t="s">
        <v>19</v>
      </c>
    </row>
    <row r="118" spans="1:16" x14ac:dyDescent="0.35">
      <c r="A118" t="s">
        <v>144</v>
      </c>
      <c r="B118">
        <v>117</v>
      </c>
      <c r="C118">
        <v>18</v>
      </c>
      <c r="D118" t="s">
        <v>21</v>
      </c>
      <c r="E118" t="s">
        <v>22</v>
      </c>
      <c r="F118">
        <v>3.38</v>
      </c>
      <c r="G118">
        <v>6</v>
      </c>
      <c r="H118">
        <v>83.9</v>
      </c>
      <c r="I118">
        <v>0.8</v>
      </c>
      <c r="J118" t="s">
        <v>18</v>
      </c>
      <c r="K118">
        <v>0</v>
      </c>
      <c r="L118">
        <v>23</v>
      </c>
      <c r="M118">
        <v>0.62</v>
      </c>
      <c r="N118">
        <v>0</v>
      </c>
      <c r="O118">
        <v>0.98</v>
      </c>
      <c r="P118" t="s">
        <v>24</v>
      </c>
    </row>
    <row r="119" spans="1:16" x14ac:dyDescent="0.35">
      <c r="A119" t="s">
        <v>145</v>
      </c>
      <c r="B119">
        <v>118</v>
      </c>
      <c r="C119">
        <v>23</v>
      </c>
      <c r="D119" t="s">
        <v>21</v>
      </c>
      <c r="E119" t="s">
        <v>46</v>
      </c>
      <c r="F119">
        <v>2.48</v>
      </c>
      <c r="G119">
        <v>5</v>
      </c>
      <c r="H119">
        <v>75.7</v>
      </c>
      <c r="I119">
        <v>0.63</v>
      </c>
      <c r="J119" t="s">
        <v>28</v>
      </c>
      <c r="K119">
        <v>5</v>
      </c>
      <c r="L119">
        <v>40</v>
      </c>
      <c r="M119">
        <v>0.67</v>
      </c>
      <c r="N119">
        <v>13</v>
      </c>
      <c r="O119">
        <v>0.79</v>
      </c>
      <c r="P119" t="s">
        <v>19</v>
      </c>
    </row>
    <row r="120" spans="1:16" x14ac:dyDescent="0.35">
      <c r="A120" t="s">
        <v>146</v>
      </c>
      <c r="B120">
        <v>119</v>
      </c>
      <c r="C120">
        <v>25</v>
      </c>
      <c r="D120" t="s">
        <v>32</v>
      </c>
      <c r="E120" t="s">
        <v>30</v>
      </c>
      <c r="F120">
        <v>3.82</v>
      </c>
      <c r="G120">
        <v>6</v>
      </c>
      <c r="H120">
        <v>78.900000000000006</v>
      </c>
      <c r="I120">
        <v>0.82</v>
      </c>
      <c r="J120" t="s">
        <v>18</v>
      </c>
      <c r="K120">
        <v>4</v>
      </c>
      <c r="L120">
        <v>75</v>
      </c>
      <c r="M120">
        <v>0.93</v>
      </c>
      <c r="N120">
        <v>2</v>
      </c>
      <c r="O120">
        <v>0.99</v>
      </c>
      <c r="P120" t="s">
        <v>24</v>
      </c>
    </row>
    <row r="121" spans="1:16" x14ac:dyDescent="0.35">
      <c r="A121" t="s">
        <v>147</v>
      </c>
      <c r="B121">
        <v>120</v>
      </c>
      <c r="C121">
        <v>22</v>
      </c>
      <c r="D121" t="s">
        <v>16</v>
      </c>
      <c r="E121" t="s">
        <v>30</v>
      </c>
      <c r="F121">
        <v>3.68</v>
      </c>
      <c r="G121">
        <v>5</v>
      </c>
      <c r="H121">
        <v>94.2</v>
      </c>
      <c r="I121">
        <v>0.8</v>
      </c>
      <c r="J121" t="s">
        <v>23</v>
      </c>
      <c r="K121">
        <v>28</v>
      </c>
      <c r="L121">
        <v>77</v>
      </c>
      <c r="M121">
        <v>0.76</v>
      </c>
      <c r="N121">
        <v>13</v>
      </c>
      <c r="O121">
        <v>0.69</v>
      </c>
      <c r="P121" t="s">
        <v>24</v>
      </c>
    </row>
    <row r="122" spans="1:16" x14ac:dyDescent="0.35">
      <c r="A122" t="s">
        <v>148</v>
      </c>
      <c r="B122">
        <v>121</v>
      </c>
      <c r="C122">
        <v>25</v>
      </c>
      <c r="D122" t="s">
        <v>16</v>
      </c>
      <c r="E122" t="s">
        <v>17</v>
      </c>
      <c r="F122">
        <v>3.42</v>
      </c>
      <c r="G122">
        <v>5</v>
      </c>
      <c r="H122">
        <v>73.599999999999994</v>
      </c>
      <c r="I122">
        <v>0.66</v>
      </c>
      <c r="J122" t="s">
        <v>28</v>
      </c>
      <c r="K122">
        <v>11</v>
      </c>
      <c r="L122">
        <v>74</v>
      </c>
      <c r="M122">
        <v>0.76</v>
      </c>
      <c r="N122">
        <v>0</v>
      </c>
      <c r="O122">
        <v>0.73</v>
      </c>
      <c r="P122" t="s">
        <v>19</v>
      </c>
    </row>
    <row r="123" spans="1:16" x14ac:dyDescent="0.35">
      <c r="A123" t="s">
        <v>149</v>
      </c>
      <c r="B123">
        <v>122</v>
      </c>
      <c r="C123">
        <v>22</v>
      </c>
      <c r="D123" t="s">
        <v>16</v>
      </c>
      <c r="E123" t="s">
        <v>22</v>
      </c>
      <c r="F123">
        <v>3.9</v>
      </c>
      <c r="G123">
        <v>5</v>
      </c>
      <c r="H123">
        <v>94.8</v>
      </c>
      <c r="I123">
        <v>0.78</v>
      </c>
      <c r="J123" t="s">
        <v>18</v>
      </c>
      <c r="K123">
        <v>38</v>
      </c>
      <c r="L123">
        <v>64</v>
      </c>
      <c r="M123">
        <v>0.98</v>
      </c>
      <c r="N123">
        <v>15</v>
      </c>
      <c r="O123">
        <v>0.66</v>
      </c>
      <c r="P123" t="s">
        <v>24</v>
      </c>
    </row>
    <row r="124" spans="1:16" x14ac:dyDescent="0.35">
      <c r="A124" t="s">
        <v>150</v>
      </c>
      <c r="B124">
        <v>123</v>
      </c>
      <c r="C124">
        <v>19</v>
      </c>
      <c r="D124" t="s">
        <v>16</v>
      </c>
      <c r="E124" t="s">
        <v>17</v>
      </c>
      <c r="F124">
        <v>2.06</v>
      </c>
      <c r="G124">
        <v>4</v>
      </c>
      <c r="H124">
        <v>63.5</v>
      </c>
      <c r="I124">
        <v>0.73</v>
      </c>
      <c r="J124" t="s">
        <v>28</v>
      </c>
      <c r="K124">
        <v>2</v>
      </c>
      <c r="L124">
        <v>87</v>
      </c>
      <c r="M124">
        <v>0.66</v>
      </c>
      <c r="N124">
        <v>9</v>
      </c>
      <c r="O124">
        <v>0.59</v>
      </c>
      <c r="P124" t="s">
        <v>19</v>
      </c>
    </row>
    <row r="125" spans="1:16" x14ac:dyDescent="0.35">
      <c r="A125" t="s">
        <v>151</v>
      </c>
      <c r="B125">
        <v>124</v>
      </c>
      <c r="C125">
        <v>24</v>
      </c>
      <c r="D125" t="s">
        <v>32</v>
      </c>
      <c r="E125" t="s">
        <v>30</v>
      </c>
      <c r="F125">
        <v>3.47</v>
      </c>
      <c r="G125">
        <v>6</v>
      </c>
      <c r="H125">
        <v>91.1</v>
      </c>
      <c r="I125">
        <v>0.81</v>
      </c>
      <c r="J125" t="s">
        <v>28</v>
      </c>
      <c r="K125">
        <v>0</v>
      </c>
      <c r="L125">
        <v>49</v>
      </c>
      <c r="M125">
        <v>0.74</v>
      </c>
      <c r="N125">
        <v>12</v>
      </c>
      <c r="O125">
        <v>0.56999999999999995</v>
      </c>
      <c r="P125" t="s">
        <v>24</v>
      </c>
    </row>
    <row r="126" spans="1:16" x14ac:dyDescent="0.35">
      <c r="A126" t="s">
        <v>152</v>
      </c>
      <c r="B126">
        <v>125</v>
      </c>
      <c r="C126">
        <v>22</v>
      </c>
      <c r="D126" t="s">
        <v>32</v>
      </c>
      <c r="E126" t="s">
        <v>46</v>
      </c>
      <c r="F126">
        <v>2.66</v>
      </c>
      <c r="G126">
        <v>5</v>
      </c>
      <c r="H126">
        <v>93.9</v>
      </c>
      <c r="I126">
        <v>0.83</v>
      </c>
      <c r="J126" t="s">
        <v>18</v>
      </c>
      <c r="K126">
        <v>26</v>
      </c>
      <c r="L126">
        <v>34</v>
      </c>
      <c r="M126">
        <v>0.91</v>
      </c>
      <c r="N126">
        <v>3</v>
      </c>
      <c r="O126">
        <v>0.97</v>
      </c>
      <c r="P126" t="s">
        <v>24</v>
      </c>
    </row>
    <row r="127" spans="1:16" x14ac:dyDescent="0.35">
      <c r="A127" t="s">
        <v>153</v>
      </c>
      <c r="B127">
        <v>126</v>
      </c>
      <c r="C127">
        <v>25</v>
      </c>
      <c r="D127" t="s">
        <v>21</v>
      </c>
      <c r="E127" t="s">
        <v>17</v>
      </c>
      <c r="F127">
        <v>3.81</v>
      </c>
      <c r="G127">
        <v>3</v>
      </c>
      <c r="H127">
        <v>67.3</v>
      </c>
      <c r="I127">
        <v>0.6</v>
      </c>
      <c r="J127" t="s">
        <v>18</v>
      </c>
      <c r="K127">
        <v>23</v>
      </c>
      <c r="L127">
        <v>34</v>
      </c>
      <c r="M127">
        <v>0.88</v>
      </c>
      <c r="N127">
        <v>8</v>
      </c>
      <c r="O127">
        <v>0.99</v>
      </c>
      <c r="P127" t="s">
        <v>19</v>
      </c>
    </row>
    <row r="128" spans="1:16" x14ac:dyDescent="0.35">
      <c r="A128" t="s">
        <v>154</v>
      </c>
      <c r="B128">
        <v>127</v>
      </c>
      <c r="C128">
        <v>19</v>
      </c>
      <c r="D128" t="s">
        <v>21</v>
      </c>
      <c r="E128" t="s">
        <v>17</v>
      </c>
      <c r="F128">
        <v>2.5299999999999998</v>
      </c>
      <c r="G128">
        <v>4</v>
      </c>
      <c r="H128">
        <v>77.2</v>
      </c>
      <c r="I128">
        <v>0.9</v>
      </c>
      <c r="J128" t="s">
        <v>28</v>
      </c>
      <c r="K128">
        <v>18</v>
      </c>
      <c r="L128">
        <v>12</v>
      </c>
      <c r="M128">
        <v>0.63</v>
      </c>
      <c r="N128">
        <v>13</v>
      </c>
      <c r="O128">
        <v>0.52</v>
      </c>
      <c r="P128" t="s">
        <v>24</v>
      </c>
    </row>
    <row r="129" spans="1:16" x14ac:dyDescent="0.35">
      <c r="A129" t="s">
        <v>155</v>
      </c>
      <c r="B129">
        <v>128</v>
      </c>
      <c r="C129">
        <v>18</v>
      </c>
      <c r="D129" t="s">
        <v>21</v>
      </c>
      <c r="E129" t="s">
        <v>46</v>
      </c>
      <c r="F129">
        <v>3.45</v>
      </c>
      <c r="G129">
        <v>4</v>
      </c>
      <c r="H129">
        <v>66.599999999999994</v>
      </c>
      <c r="I129">
        <v>0.89</v>
      </c>
      <c r="J129" t="s">
        <v>28</v>
      </c>
      <c r="K129">
        <v>7</v>
      </c>
      <c r="L129">
        <v>78</v>
      </c>
      <c r="M129">
        <v>0.57999999999999996</v>
      </c>
      <c r="N129">
        <v>3</v>
      </c>
      <c r="O129">
        <v>0.57999999999999996</v>
      </c>
      <c r="P129" t="s">
        <v>41</v>
      </c>
    </row>
    <row r="130" spans="1:16" x14ac:dyDescent="0.35">
      <c r="A130" t="s">
        <v>156</v>
      </c>
      <c r="B130">
        <v>129</v>
      </c>
      <c r="C130">
        <v>21</v>
      </c>
      <c r="D130" t="s">
        <v>21</v>
      </c>
      <c r="E130" t="s">
        <v>17</v>
      </c>
      <c r="F130">
        <v>3.76</v>
      </c>
      <c r="G130">
        <v>6</v>
      </c>
      <c r="H130">
        <v>88.3</v>
      </c>
      <c r="I130">
        <v>0.75</v>
      </c>
      <c r="J130" t="s">
        <v>18</v>
      </c>
      <c r="K130">
        <v>1</v>
      </c>
      <c r="L130">
        <v>35</v>
      </c>
      <c r="M130">
        <v>0.85</v>
      </c>
      <c r="N130">
        <v>9</v>
      </c>
      <c r="O130">
        <v>0.71</v>
      </c>
      <c r="P130" t="s">
        <v>24</v>
      </c>
    </row>
    <row r="131" spans="1:16" x14ac:dyDescent="0.35">
      <c r="A131" t="s">
        <v>157</v>
      </c>
      <c r="B131">
        <v>130</v>
      </c>
      <c r="C131">
        <v>21</v>
      </c>
      <c r="D131" t="s">
        <v>32</v>
      </c>
      <c r="E131" t="s">
        <v>46</v>
      </c>
      <c r="F131">
        <v>2.08</v>
      </c>
      <c r="G131">
        <v>5</v>
      </c>
      <c r="H131">
        <v>81.400000000000006</v>
      </c>
      <c r="I131">
        <v>0.62</v>
      </c>
      <c r="J131" t="s">
        <v>23</v>
      </c>
      <c r="K131">
        <v>29</v>
      </c>
      <c r="L131">
        <v>49</v>
      </c>
      <c r="M131">
        <v>0.63</v>
      </c>
      <c r="N131">
        <v>7</v>
      </c>
      <c r="O131">
        <v>0.59</v>
      </c>
      <c r="P131" t="s">
        <v>19</v>
      </c>
    </row>
    <row r="132" spans="1:16" x14ac:dyDescent="0.35">
      <c r="A132" t="s">
        <v>158</v>
      </c>
      <c r="B132">
        <v>131</v>
      </c>
      <c r="C132">
        <v>21</v>
      </c>
      <c r="D132" t="s">
        <v>16</v>
      </c>
      <c r="E132" t="s">
        <v>22</v>
      </c>
      <c r="F132">
        <v>2.8</v>
      </c>
      <c r="G132">
        <v>6</v>
      </c>
      <c r="H132">
        <v>85.4</v>
      </c>
      <c r="I132">
        <v>0.9</v>
      </c>
      <c r="J132" t="s">
        <v>28</v>
      </c>
      <c r="K132">
        <v>29</v>
      </c>
      <c r="L132">
        <v>47</v>
      </c>
      <c r="M132">
        <v>0.96</v>
      </c>
      <c r="N132">
        <v>2</v>
      </c>
      <c r="O132">
        <v>0.68</v>
      </c>
      <c r="P132" t="s">
        <v>24</v>
      </c>
    </row>
    <row r="133" spans="1:16" x14ac:dyDescent="0.35">
      <c r="A133" t="s">
        <v>159</v>
      </c>
      <c r="B133">
        <v>132</v>
      </c>
      <c r="C133">
        <v>22</v>
      </c>
      <c r="D133" t="s">
        <v>32</v>
      </c>
      <c r="E133" t="s">
        <v>46</v>
      </c>
      <c r="F133">
        <v>3.52</v>
      </c>
      <c r="G133">
        <v>4</v>
      </c>
      <c r="H133">
        <v>67.900000000000006</v>
      </c>
      <c r="I133">
        <v>0.98</v>
      </c>
      <c r="J133" t="s">
        <v>28</v>
      </c>
      <c r="K133">
        <v>38</v>
      </c>
      <c r="L133">
        <v>47</v>
      </c>
      <c r="M133">
        <v>0.56000000000000005</v>
      </c>
      <c r="N133">
        <v>6</v>
      </c>
      <c r="O133">
        <v>0.56000000000000005</v>
      </c>
      <c r="P133" t="s">
        <v>41</v>
      </c>
    </row>
    <row r="134" spans="1:16" x14ac:dyDescent="0.35">
      <c r="A134" t="s">
        <v>160</v>
      </c>
      <c r="B134">
        <v>133</v>
      </c>
      <c r="C134">
        <v>18</v>
      </c>
      <c r="D134" t="s">
        <v>21</v>
      </c>
      <c r="E134" t="s">
        <v>22</v>
      </c>
      <c r="F134">
        <v>2.91</v>
      </c>
      <c r="G134">
        <v>5</v>
      </c>
      <c r="H134">
        <v>68.5</v>
      </c>
      <c r="I134">
        <v>0.7</v>
      </c>
      <c r="J134" t="s">
        <v>23</v>
      </c>
      <c r="K134">
        <v>31</v>
      </c>
      <c r="L134">
        <v>77</v>
      </c>
      <c r="M134">
        <v>0.66</v>
      </c>
      <c r="N134">
        <v>9</v>
      </c>
      <c r="O134">
        <v>0.73</v>
      </c>
      <c r="P134" t="s">
        <v>19</v>
      </c>
    </row>
    <row r="135" spans="1:16" x14ac:dyDescent="0.35">
      <c r="A135" t="s">
        <v>161</v>
      </c>
      <c r="B135">
        <v>134</v>
      </c>
      <c r="C135">
        <v>22</v>
      </c>
      <c r="D135" t="s">
        <v>32</v>
      </c>
      <c r="E135" t="s">
        <v>46</v>
      </c>
      <c r="F135">
        <v>2.5299999999999998</v>
      </c>
      <c r="G135">
        <v>3</v>
      </c>
      <c r="H135">
        <v>61.7</v>
      </c>
      <c r="I135">
        <v>0.73</v>
      </c>
      <c r="J135" t="s">
        <v>18</v>
      </c>
      <c r="K135">
        <v>0</v>
      </c>
      <c r="L135">
        <v>16</v>
      </c>
      <c r="M135">
        <v>0.53</v>
      </c>
      <c r="N135">
        <v>2</v>
      </c>
      <c r="O135">
        <v>0.64</v>
      </c>
      <c r="P135" t="s">
        <v>19</v>
      </c>
    </row>
    <row r="136" spans="1:16" x14ac:dyDescent="0.35">
      <c r="A136" t="s">
        <v>162</v>
      </c>
      <c r="B136">
        <v>135</v>
      </c>
      <c r="C136">
        <v>24</v>
      </c>
      <c r="D136" t="s">
        <v>16</v>
      </c>
      <c r="E136" t="s">
        <v>30</v>
      </c>
      <c r="F136">
        <v>2.44</v>
      </c>
      <c r="G136">
        <v>5</v>
      </c>
      <c r="H136">
        <v>72.900000000000006</v>
      </c>
      <c r="I136">
        <v>0.67</v>
      </c>
      <c r="J136" t="s">
        <v>18</v>
      </c>
      <c r="K136">
        <v>37</v>
      </c>
      <c r="L136">
        <v>39</v>
      </c>
      <c r="M136">
        <v>0.85</v>
      </c>
      <c r="N136">
        <v>1</v>
      </c>
      <c r="O136">
        <v>0.68</v>
      </c>
      <c r="P136" t="s">
        <v>19</v>
      </c>
    </row>
    <row r="137" spans="1:16" x14ac:dyDescent="0.35">
      <c r="A137" t="s">
        <v>163</v>
      </c>
      <c r="B137">
        <v>136</v>
      </c>
      <c r="C137">
        <v>22</v>
      </c>
      <c r="D137" t="s">
        <v>16</v>
      </c>
      <c r="E137" t="s">
        <v>30</v>
      </c>
      <c r="F137">
        <v>2.2599999999999998</v>
      </c>
      <c r="G137">
        <v>4</v>
      </c>
      <c r="H137">
        <v>82.4</v>
      </c>
      <c r="I137">
        <v>0.83</v>
      </c>
      <c r="J137" t="s">
        <v>23</v>
      </c>
      <c r="K137">
        <v>12</v>
      </c>
      <c r="L137">
        <v>28</v>
      </c>
      <c r="M137">
        <v>0.95</v>
      </c>
      <c r="N137">
        <v>14</v>
      </c>
      <c r="O137">
        <v>0.55000000000000004</v>
      </c>
      <c r="P137" t="s">
        <v>19</v>
      </c>
    </row>
    <row r="138" spans="1:16" x14ac:dyDescent="0.35">
      <c r="A138" t="s">
        <v>164</v>
      </c>
      <c r="B138">
        <v>137</v>
      </c>
      <c r="C138">
        <v>18</v>
      </c>
      <c r="D138" t="s">
        <v>32</v>
      </c>
      <c r="E138" t="s">
        <v>22</v>
      </c>
      <c r="F138">
        <v>3.71</v>
      </c>
      <c r="G138">
        <v>3</v>
      </c>
      <c r="H138">
        <v>94.3</v>
      </c>
      <c r="I138">
        <v>0.66</v>
      </c>
      <c r="J138" t="s">
        <v>18</v>
      </c>
      <c r="K138">
        <v>10</v>
      </c>
      <c r="L138">
        <v>44</v>
      </c>
      <c r="M138">
        <v>0.82</v>
      </c>
      <c r="N138">
        <v>8</v>
      </c>
      <c r="O138">
        <v>0.71</v>
      </c>
      <c r="P138" t="s">
        <v>19</v>
      </c>
    </row>
    <row r="139" spans="1:16" x14ac:dyDescent="0.35">
      <c r="A139" t="s">
        <v>165</v>
      </c>
      <c r="B139">
        <v>138</v>
      </c>
      <c r="C139">
        <v>18</v>
      </c>
      <c r="D139" t="s">
        <v>32</v>
      </c>
      <c r="E139" t="s">
        <v>22</v>
      </c>
      <c r="F139">
        <v>3.15</v>
      </c>
      <c r="G139">
        <v>5</v>
      </c>
      <c r="H139">
        <v>86.7</v>
      </c>
      <c r="I139">
        <v>0.74</v>
      </c>
      <c r="J139" t="s">
        <v>18</v>
      </c>
      <c r="K139">
        <v>9</v>
      </c>
      <c r="L139">
        <v>42</v>
      </c>
      <c r="M139">
        <v>0.97</v>
      </c>
      <c r="N139">
        <v>14</v>
      </c>
      <c r="O139">
        <v>0.99</v>
      </c>
      <c r="P139" t="s">
        <v>19</v>
      </c>
    </row>
    <row r="140" spans="1:16" x14ac:dyDescent="0.35">
      <c r="A140" t="s">
        <v>166</v>
      </c>
      <c r="B140">
        <v>139</v>
      </c>
      <c r="C140">
        <v>24</v>
      </c>
      <c r="D140" t="s">
        <v>32</v>
      </c>
      <c r="E140" t="s">
        <v>30</v>
      </c>
      <c r="F140">
        <v>2.15</v>
      </c>
      <c r="G140">
        <v>3</v>
      </c>
      <c r="H140">
        <v>77.400000000000006</v>
      </c>
      <c r="I140">
        <v>0.88</v>
      </c>
      <c r="J140" t="s">
        <v>28</v>
      </c>
      <c r="K140">
        <v>25</v>
      </c>
      <c r="L140">
        <v>42</v>
      </c>
      <c r="M140">
        <v>0.56000000000000005</v>
      </c>
      <c r="N140">
        <v>16</v>
      </c>
      <c r="O140">
        <v>0.66</v>
      </c>
      <c r="P140" t="s">
        <v>19</v>
      </c>
    </row>
    <row r="141" spans="1:16" x14ac:dyDescent="0.35">
      <c r="A141" t="s">
        <v>167</v>
      </c>
      <c r="B141">
        <v>140</v>
      </c>
      <c r="C141">
        <v>18</v>
      </c>
      <c r="D141" t="s">
        <v>21</v>
      </c>
      <c r="E141" t="s">
        <v>22</v>
      </c>
      <c r="F141">
        <v>2.77</v>
      </c>
      <c r="G141">
        <v>3</v>
      </c>
      <c r="H141">
        <v>98.1</v>
      </c>
      <c r="I141">
        <v>0.82</v>
      </c>
      <c r="J141" t="s">
        <v>28</v>
      </c>
      <c r="K141">
        <v>19</v>
      </c>
      <c r="L141">
        <v>87</v>
      </c>
      <c r="M141">
        <v>0.54</v>
      </c>
      <c r="N141">
        <v>6</v>
      </c>
      <c r="O141">
        <v>0.94</v>
      </c>
      <c r="P141" t="s">
        <v>24</v>
      </c>
    </row>
    <row r="142" spans="1:16" x14ac:dyDescent="0.35">
      <c r="A142" t="s">
        <v>168</v>
      </c>
      <c r="B142">
        <v>141</v>
      </c>
      <c r="C142">
        <v>25</v>
      </c>
      <c r="D142" t="s">
        <v>32</v>
      </c>
      <c r="E142" t="s">
        <v>46</v>
      </c>
      <c r="F142">
        <v>2.74</v>
      </c>
      <c r="G142">
        <v>4</v>
      </c>
      <c r="H142">
        <v>88.8</v>
      </c>
      <c r="I142">
        <v>0.75</v>
      </c>
      <c r="J142" t="s">
        <v>28</v>
      </c>
      <c r="K142">
        <v>16</v>
      </c>
      <c r="L142">
        <v>47</v>
      </c>
      <c r="M142">
        <v>0.92</v>
      </c>
      <c r="N142">
        <v>19</v>
      </c>
      <c r="O142">
        <v>0.92</v>
      </c>
      <c r="P142" t="s">
        <v>24</v>
      </c>
    </row>
    <row r="143" spans="1:16" x14ac:dyDescent="0.35">
      <c r="A143" t="s">
        <v>169</v>
      </c>
      <c r="B143">
        <v>142</v>
      </c>
      <c r="C143">
        <v>18</v>
      </c>
      <c r="D143" t="s">
        <v>32</v>
      </c>
      <c r="E143" t="s">
        <v>46</v>
      </c>
      <c r="F143">
        <v>2.36</v>
      </c>
      <c r="G143">
        <v>3</v>
      </c>
      <c r="H143">
        <v>97.2</v>
      </c>
      <c r="I143">
        <v>0.77</v>
      </c>
      <c r="J143" t="s">
        <v>23</v>
      </c>
      <c r="K143">
        <v>16</v>
      </c>
      <c r="L143">
        <v>19</v>
      </c>
      <c r="M143">
        <v>0.93</v>
      </c>
      <c r="N143">
        <v>17</v>
      </c>
      <c r="O143">
        <v>0.98</v>
      </c>
      <c r="P143" t="s">
        <v>19</v>
      </c>
    </row>
    <row r="144" spans="1:16" x14ac:dyDescent="0.35">
      <c r="A144" t="s">
        <v>170</v>
      </c>
      <c r="B144">
        <v>143</v>
      </c>
      <c r="C144">
        <v>21</v>
      </c>
      <c r="D144" t="s">
        <v>32</v>
      </c>
      <c r="E144" t="s">
        <v>30</v>
      </c>
      <c r="F144">
        <v>2.87</v>
      </c>
      <c r="G144">
        <v>6</v>
      </c>
      <c r="H144">
        <v>81.099999999999994</v>
      </c>
      <c r="I144">
        <v>0.82</v>
      </c>
      <c r="J144" t="s">
        <v>18</v>
      </c>
      <c r="K144">
        <v>3</v>
      </c>
      <c r="L144">
        <v>66</v>
      </c>
      <c r="M144">
        <v>0.92</v>
      </c>
      <c r="N144">
        <v>14</v>
      </c>
      <c r="O144">
        <v>0.9</v>
      </c>
      <c r="P144" t="s">
        <v>24</v>
      </c>
    </row>
    <row r="145" spans="1:16" x14ac:dyDescent="0.35">
      <c r="A145" t="s">
        <v>171</v>
      </c>
      <c r="B145">
        <v>144</v>
      </c>
      <c r="C145">
        <v>25</v>
      </c>
      <c r="D145" t="s">
        <v>16</v>
      </c>
      <c r="E145" t="s">
        <v>17</v>
      </c>
      <c r="F145">
        <v>2.66</v>
      </c>
      <c r="G145">
        <v>4</v>
      </c>
      <c r="H145">
        <v>70.400000000000006</v>
      </c>
      <c r="I145">
        <v>0.6</v>
      </c>
      <c r="J145" t="s">
        <v>18</v>
      </c>
      <c r="K145">
        <v>4</v>
      </c>
      <c r="L145">
        <v>37</v>
      </c>
      <c r="M145">
        <v>0.9</v>
      </c>
      <c r="N145">
        <v>17</v>
      </c>
      <c r="O145">
        <v>0.83</v>
      </c>
      <c r="P145" t="s">
        <v>19</v>
      </c>
    </row>
    <row r="146" spans="1:16" x14ac:dyDescent="0.35">
      <c r="A146" t="s">
        <v>172</v>
      </c>
      <c r="B146">
        <v>145</v>
      </c>
      <c r="C146">
        <v>25</v>
      </c>
      <c r="D146" t="s">
        <v>16</v>
      </c>
      <c r="E146" t="s">
        <v>46</v>
      </c>
      <c r="F146">
        <v>2.68</v>
      </c>
      <c r="G146">
        <v>6</v>
      </c>
      <c r="H146">
        <v>62.1</v>
      </c>
      <c r="I146">
        <v>0.63</v>
      </c>
      <c r="J146" t="s">
        <v>28</v>
      </c>
      <c r="K146">
        <v>22</v>
      </c>
      <c r="L146">
        <v>87</v>
      </c>
      <c r="M146">
        <v>0.68</v>
      </c>
      <c r="N146">
        <v>11</v>
      </c>
      <c r="O146">
        <v>0.93</v>
      </c>
      <c r="P146" t="s">
        <v>19</v>
      </c>
    </row>
    <row r="147" spans="1:16" x14ac:dyDescent="0.35">
      <c r="A147" t="s">
        <v>173</v>
      </c>
      <c r="B147">
        <v>146</v>
      </c>
      <c r="C147">
        <v>24</v>
      </c>
      <c r="D147" t="s">
        <v>21</v>
      </c>
      <c r="E147" t="s">
        <v>22</v>
      </c>
      <c r="F147">
        <v>3.48</v>
      </c>
      <c r="G147">
        <v>3</v>
      </c>
      <c r="H147">
        <v>89</v>
      </c>
      <c r="I147">
        <v>0.95</v>
      </c>
      <c r="J147" t="s">
        <v>28</v>
      </c>
      <c r="K147">
        <v>9</v>
      </c>
      <c r="L147">
        <v>47</v>
      </c>
      <c r="M147">
        <v>0.61</v>
      </c>
      <c r="N147">
        <v>7</v>
      </c>
      <c r="O147">
        <v>0.54</v>
      </c>
      <c r="P147" t="s">
        <v>41</v>
      </c>
    </row>
    <row r="148" spans="1:16" x14ac:dyDescent="0.35">
      <c r="A148" t="s">
        <v>174</v>
      </c>
      <c r="B148">
        <v>147</v>
      </c>
      <c r="C148">
        <v>20</v>
      </c>
      <c r="D148" t="s">
        <v>21</v>
      </c>
      <c r="E148" t="s">
        <v>17</v>
      </c>
      <c r="F148">
        <v>2.4500000000000002</v>
      </c>
      <c r="G148">
        <v>6</v>
      </c>
      <c r="H148">
        <v>64.900000000000006</v>
      </c>
      <c r="I148">
        <v>0.63</v>
      </c>
      <c r="J148" t="s">
        <v>23</v>
      </c>
      <c r="K148">
        <v>27</v>
      </c>
      <c r="L148">
        <v>25</v>
      </c>
      <c r="M148">
        <v>0.96</v>
      </c>
      <c r="N148">
        <v>1</v>
      </c>
      <c r="O148">
        <v>0.73</v>
      </c>
      <c r="P148" t="s">
        <v>19</v>
      </c>
    </row>
    <row r="149" spans="1:16" x14ac:dyDescent="0.35">
      <c r="A149" t="s">
        <v>175</v>
      </c>
      <c r="B149">
        <v>148</v>
      </c>
      <c r="C149">
        <v>20</v>
      </c>
      <c r="D149" t="s">
        <v>16</v>
      </c>
      <c r="E149" t="s">
        <v>17</v>
      </c>
      <c r="F149">
        <v>3.28</v>
      </c>
      <c r="G149">
        <v>5</v>
      </c>
      <c r="H149">
        <v>72.099999999999994</v>
      </c>
      <c r="I149">
        <v>0.88</v>
      </c>
      <c r="J149" t="s">
        <v>18</v>
      </c>
      <c r="K149">
        <v>32</v>
      </c>
      <c r="L149">
        <v>30</v>
      </c>
      <c r="M149">
        <v>0.65</v>
      </c>
      <c r="N149">
        <v>1</v>
      </c>
      <c r="O149">
        <v>0.99</v>
      </c>
      <c r="P149" t="s">
        <v>41</v>
      </c>
    </row>
    <row r="150" spans="1:16" x14ac:dyDescent="0.35">
      <c r="A150" t="s">
        <v>176</v>
      </c>
      <c r="B150">
        <v>149</v>
      </c>
      <c r="C150">
        <v>18</v>
      </c>
      <c r="D150" t="s">
        <v>16</v>
      </c>
      <c r="E150" t="s">
        <v>46</v>
      </c>
      <c r="F150">
        <v>3.14</v>
      </c>
      <c r="G150">
        <v>3</v>
      </c>
      <c r="H150">
        <v>81.3</v>
      </c>
      <c r="I150">
        <v>0.97</v>
      </c>
      <c r="J150" t="s">
        <v>23</v>
      </c>
      <c r="K150">
        <v>25</v>
      </c>
      <c r="L150">
        <v>15</v>
      </c>
      <c r="M150">
        <v>0.7</v>
      </c>
      <c r="N150">
        <v>4</v>
      </c>
      <c r="O150">
        <v>0.88</v>
      </c>
      <c r="P150" t="s">
        <v>41</v>
      </c>
    </row>
    <row r="151" spans="1:16" x14ac:dyDescent="0.35">
      <c r="A151" t="s">
        <v>177</v>
      </c>
      <c r="B151">
        <v>150</v>
      </c>
      <c r="C151">
        <v>25</v>
      </c>
      <c r="D151" t="s">
        <v>16</v>
      </c>
      <c r="E151" t="s">
        <v>46</v>
      </c>
      <c r="F151">
        <v>3.14</v>
      </c>
      <c r="G151">
        <v>5</v>
      </c>
      <c r="H151">
        <v>82.6</v>
      </c>
      <c r="I151">
        <v>0.71</v>
      </c>
      <c r="J151" t="s">
        <v>18</v>
      </c>
      <c r="K151">
        <v>28</v>
      </c>
      <c r="L151">
        <v>50</v>
      </c>
      <c r="M151">
        <v>0.85</v>
      </c>
      <c r="N151">
        <v>0</v>
      </c>
      <c r="O151">
        <v>0.98</v>
      </c>
      <c r="P151" t="s">
        <v>19</v>
      </c>
    </row>
    <row r="152" spans="1:16" x14ac:dyDescent="0.35">
      <c r="A152" t="s">
        <v>178</v>
      </c>
      <c r="B152">
        <v>151</v>
      </c>
      <c r="C152">
        <v>20</v>
      </c>
      <c r="D152" t="s">
        <v>32</v>
      </c>
      <c r="E152" t="s">
        <v>17</v>
      </c>
      <c r="F152">
        <v>3.33</v>
      </c>
      <c r="G152">
        <v>6</v>
      </c>
      <c r="H152">
        <v>84</v>
      </c>
      <c r="I152">
        <v>0.75</v>
      </c>
      <c r="J152" t="s">
        <v>23</v>
      </c>
      <c r="K152">
        <v>26</v>
      </c>
      <c r="L152">
        <v>24</v>
      </c>
      <c r="M152">
        <v>0.65</v>
      </c>
      <c r="N152">
        <v>3</v>
      </c>
      <c r="O152">
        <v>0.89</v>
      </c>
      <c r="P152" t="s">
        <v>24</v>
      </c>
    </row>
    <row r="153" spans="1:16" x14ac:dyDescent="0.35">
      <c r="A153" t="s">
        <v>179</v>
      </c>
      <c r="B153">
        <v>152</v>
      </c>
      <c r="C153">
        <v>20</v>
      </c>
      <c r="D153" t="s">
        <v>32</v>
      </c>
      <c r="E153" t="s">
        <v>17</v>
      </c>
      <c r="F153">
        <v>3.1</v>
      </c>
      <c r="G153">
        <v>5</v>
      </c>
      <c r="H153">
        <v>66.7</v>
      </c>
      <c r="I153">
        <v>0.83</v>
      </c>
      <c r="J153" t="s">
        <v>28</v>
      </c>
      <c r="K153">
        <v>17</v>
      </c>
      <c r="L153">
        <v>12</v>
      </c>
      <c r="M153">
        <v>0.91</v>
      </c>
      <c r="N153">
        <v>5</v>
      </c>
      <c r="O153">
        <v>0.94</v>
      </c>
      <c r="P153" t="s">
        <v>24</v>
      </c>
    </row>
    <row r="154" spans="1:16" x14ac:dyDescent="0.35">
      <c r="A154" t="s">
        <v>180</v>
      </c>
      <c r="B154">
        <v>153</v>
      </c>
      <c r="C154">
        <v>18</v>
      </c>
      <c r="D154" t="s">
        <v>16</v>
      </c>
      <c r="E154" t="s">
        <v>30</v>
      </c>
      <c r="F154">
        <v>3.76</v>
      </c>
      <c r="G154">
        <v>3</v>
      </c>
      <c r="H154">
        <v>75.2</v>
      </c>
      <c r="I154">
        <v>0.95</v>
      </c>
      <c r="J154" t="s">
        <v>23</v>
      </c>
      <c r="K154">
        <v>39</v>
      </c>
      <c r="L154">
        <v>52</v>
      </c>
      <c r="M154">
        <v>0.54</v>
      </c>
      <c r="N154">
        <v>12</v>
      </c>
      <c r="O154">
        <v>0.85</v>
      </c>
      <c r="P154" t="s">
        <v>41</v>
      </c>
    </row>
    <row r="155" spans="1:16" x14ac:dyDescent="0.35">
      <c r="A155" t="s">
        <v>181</v>
      </c>
      <c r="B155">
        <v>154</v>
      </c>
      <c r="C155">
        <v>20</v>
      </c>
      <c r="D155" t="s">
        <v>32</v>
      </c>
      <c r="E155" t="s">
        <v>22</v>
      </c>
      <c r="F155">
        <v>3.35</v>
      </c>
      <c r="G155">
        <v>5</v>
      </c>
      <c r="H155">
        <v>84.7</v>
      </c>
      <c r="I155">
        <v>0.98</v>
      </c>
      <c r="J155" t="s">
        <v>23</v>
      </c>
      <c r="K155">
        <v>9</v>
      </c>
      <c r="L155">
        <v>56</v>
      </c>
      <c r="M155">
        <v>0.9</v>
      </c>
      <c r="N155">
        <v>18</v>
      </c>
      <c r="O155">
        <v>0.88</v>
      </c>
      <c r="P155" t="s">
        <v>41</v>
      </c>
    </row>
    <row r="156" spans="1:16" x14ac:dyDescent="0.35">
      <c r="A156" t="s">
        <v>182</v>
      </c>
      <c r="B156">
        <v>155</v>
      </c>
      <c r="C156">
        <v>22</v>
      </c>
      <c r="D156" t="s">
        <v>32</v>
      </c>
      <c r="E156" t="s">
        <v>30</v>
      </c>
      <c r="F156">
        <v>3.09</v>
      </c>
      <c r="G156">
        <v>6</v>
      </c>
      <c r="H156">
        <v>98.8</v>
      </c>
      <c r="I156">
        <v>0.9</v>
      </c>
      <c r="J156" t="s">
        <v>28</v>
      </c>
      <c r="K156">
        <v>4</v>
      </c>
      <c r="L156">
        <v>23</v>
      </c>
      <c r="M156">
        <v>0.8</v>
      </c>
      <c r="N156">
        <v>10</v>
      </c>
      <c r="O156">
        <v>0.76</v>
      </c>
      <c r="P156" t="s">
        <v>41</v>
      </c>
    </row>
    <row r="157" spans="1:16" x14ac:dyDescent="0.35">
      <c r="A157" t="s">
        <v>183</v>
      </c>
      <c r="B157">
        <v>156</v>
      </c>
      <c r="C157">
        <v>19</v>
      </c>
      <c r="D157" t="s">
        <v>21</v>
      </c>
      <c r="E157" t="s">
        <v>46</v>
      </c>
      <c r="F157">
        <v>3.66</v>
      </c>
      <c r="G157">
        <v>6</v>
      </c>
      <c r="H157">
        <v>89.1</v>
      </c>
      <c r="I157">
        <v>0.63</v>
      </c>
      <c r="J157" t="s">
        <v>18</v>
      </c>
      <c r="K157">
        <v>9</v>
      </c>
      <c r="L157">
        <v>75</v>
      </c>
      <c r="M157">
        <v>0.79</v>
      </c>
      <c r="N157">
        <v>12</v>
      </c>
      <c r="O157">
        <v>0.96</v>
      </c>
      <c r="P157" t="s">
        <v>19</v>
      </c>
    </row>
    <row r="158" spans="1:16" x14ac:dyDescent="0.35">
      <c r="A158" t="s">
        <v>184</v>
      </c>
      <c r="B158">
        <v>157</v>
      </c>
      <c r="C158">
        <v>24</v>
      </c>
      <c r="D158" t="s">
        <v>16</v>
      </c>
      <c r="E158" t="s">
        <v>30</v>
      </c>
      <c r="F158">
        <v>3.21</v>
      </c>
      <c r="G158">
        <v>6</v>
      </c>
      <c r="H158">
        <v>96.9</v>
      </c>
      <c r="I158">
        <v>0.87</v>
      </c>
      <c r="J158" t="s">
        <v>18</v>
      </c>
      <c r="K158">
        <v>20</v>
      </c>
      <c r="L158">
        <v>38</v>
      </c>
      <c r="M158">
        <v>0.73</v>
      </c>
      <c r="N158">
        <v>7</v>
      </c>
      <c r="O158">
        <v>0.91</v>
      </c>
      <c r="P158" t="s">
        <v>41</v>
      </c>
    </row>
    <row r="159" spans="1:16" x14ac:dyDescent="0.35">
      <c r="A159" t="s">
        <v>185</v>
      </c>
      <c r="B159">
        <v>158</v>
      </c>
      <c r="C159">
        <v>19</v>
      </c>
      <c r="D159" t="s">
        <v>16</v>
      </c>
      <c r="E159" t="s">
        <v>30</v>
      </c>
      <c r="F159">
        <v>2.58</v>
      </c>
      <c r="G159">
        <v>3</v>
      </c>
      <c r="H159">
        <v>90.5</v>
      </c>
      <c r="I159">
        <v>0.76</v>
      </c>
      <c r="J159" t="s">
        <v>28</v>
      </c>
      <c r="K159">
        <v>23</v>
      </c>
      <c r="L159">
        <v>13</v>
      </c>
      <c r="M159">
        <v>0.64</v>
      </c>
      <c r="N159">
        <v>6</v>
      </c>
      <c r="O159">
        <v>0.92</v>
      </c>
      <c r="P159" t="s">
        <v>24</v>
      </c>
    </row>
    <row r="160" spans="1:16" x14ac:dyDescent="0.35">
      <c r="A160" t="s">
        <v>186</v>
      </c>
      <c r="B160">
        <v>159</v>
      </c>
      <c r="C160">
        <v>18</v>
      </c>
      <c r="D160" t="s">
        <v>32</v>
      </c>
      <c r="E160" t="s">
        <v>30</v>
      </c>
      <c r="F160">
        <v>2.41</v>
      </c>
      <c r="G160">
        <v>6</v>
      </c>
      <c r="H160">
        <v>83.7</v>
      </c>
      <c r="I160">
        <v>0.79</v>
      </c>
      <c r="J160" t="s">
        <v>23</v>
      </c>
      <c r="K160">
        <v>37</v>
      </c>
      <c r="L160">
        <v>35</v>
      </c>
      <c r="M160">
        <v>0.73</v>
      </c>
      <c r="N160">
        <v>12</v>
      </c>
      <c r="O160">
        <v>0.84</v>
      </c>
      <c r="P160" t="s">
        <v>19</v>
      </c>
    </row>
    <row r="161" spans="1:16" x14ac:dyDescent="0.35">
      <c r="A161" t="s">
        <v>187</v>
      </c>
      <c r="B161">
        <v>160</v>
      </c>
      <c r="C161">
        <v>21</v>
      </c>
      <c r="D161" t="s">
        <v>16</v>
      </c>
      <c r="E161" t="s">
        <v>30</v>
      </c>
      <c r="F161">
        <v>2.2999999999999998</v>
      </c>
      <c r="G161">
        <v>3</v>
      </c>
      <c r="H161">
        <v>67.7</v>
      </c>
      <c r="I161">
        <v>0.62</v>
      </c>
      <c r="J161" t="s">
        <v>23</v>
      </c>
      <c r="K161">
        <v>2</v>
      </c>
      <c r="L161">
        <v>21</v>
      </c>
      <c r="M161">
        <v>0.73</v>
      </c>
      <c r="N161">
        <v>0</v>
      </c>
      <c r="O161">
        <v>0.65</v>
      </c>
      <c r="P161" t="s">
        <v>19</v>
      </c>
    </row>
    <row r="162" spans="1:16" x14ac:dyDescent="0.35">
      <c r="A162" t="s">
        <v>188</v>
      </c>
      <c r="B162">
        <v>161</v>
      </c>
      <c r="C162">
        <v>24</v>
      </c>
      <c r="D162" t="s">
        <v>21</v>
      </c>
      <c r="E162" t="s">
        <v>22</v>
      </c>
      <c r="F162">
        <v>3.8</v>
      </c>
      <c r="G162">
        <v>5</v>
      </c>
      <c r="H162">
        <v>86.7</v>
      </c>
      <c r="I162">
        <v>0.68</v>
      </c>
      <c r="J162" t="s">
        <v>23</v>
      </c>
      <c r="K162">
        <v>39</v>
      </c>
      <c r="L162">
        <v>11</v>
      </c>
      <c r="M162">
        <v>0.79</v>
      </c>
      <c r="N162">
        <v>5</v>
      </c>
      <c r="O162">
        <v>0.52</v>
      </c>
      <c r="P162" t="s">
        <v>19</v>
      </c>
    </row>
    <row r="163" spans="1:16" x14ac:dyDescent="0.35">
      <c r="A163" t="s">
        <v>189</v>
      </c>
      <c r="B163">
        <v>162</v>
      </c>
      <c r="C163">
        <v>18</v>
      </c>
      <c r="D163" t="s">
        <v>21</v>
      </c>
      <c r="E163" t="s">
        <v>22</v>
      </c>
      <c r="F163">
        <v>3.42</v>
      </c>
      <c r="G163">
        <v>6</v>
      </c>
      <c r="H163">
        <v>84.9</v>
      </c>
      <c r="I163">
        <v>0.92</v>
      </c>
      <c r="J163" t="s">
        <v>18</v>
      </c>
      <c r="K163">
        <v>30</v>
      </c>
      <c r="L163">
        <v>26</v>
      </c>
      <c r="M163">
        <v>0.64</v>
      </c>
      <c r="N163">
        <v>6</v>
      </c>
      <c r="O163">
        <v>0.97</v>
      </c>
      <c r="P163" t="s">
        <v>41</v>
      </c>
    </row>
    <row r="164" spans="1:16" x14ac:dyDescent="0.35">
      <c r="A164" t="s">
        <v>190</v>
      </c>
      <c r="B164">
        <v>163</v>
      </c>
      <c r="C164">
        <v>25</v>
      </c>
      <c r="D164" t="s">
        <v>21</v>
      </c>
      <c r="E164" t="s">
        <v>17</v>
      </c>
      <c r="F164">
        <v>3.87</v>
      </c>
      <c r="G164">
        <v>5</v>
      </c>
      <c r="H164">
        <v>84.1</v>
      </c>
      <c r="I164">
        <v>0.78</v>
      </c>
      <c r="J164" t="s">
        <v>23</v>
      </c>
      <c r="K164">
        <v>36</v>
      </c>
      <c r="L164">
        <v>44</v>
      </c>
      <c r="M164">
        <v>0.54</v>
      </c>
      <c r="N164">
        <v>15</v>
      </c>
      <c r="O164">
        <v>0.79</v>
      </c>
      <c r="P164" t="s">
        <v>24</v>
      </c>
    </row>
    <row r="165" spans="1:16" x14ac:dyDescent="0.35">
      <c r="A165" t="s">
        <v>191</v>
      </c>
      <c r="B165">
        <v>164</v>
      </c>
      <c r="C165">
        <v>21</v>
      </c>
      <c r="D165" t="s">
        <v>16</v>
      </c>
      <c r="E165" t="s">
        <v>46</v>
      </c>
      <c r="F165">
        <v>3.21</v>
      </c>
      <c r="G165">
        <v>4</v>
      </c>
      <c r="H165">
        <v>79.599999999999994</v>
      </c>
      <c r="I165">
        <v>0.72</v>
      </c>
      <c r="J165" t="s">
        <v>18</v>
      </c>
      <c r="K165">
        <v>1</v>
      </c>
      <c r="L165">
        <v>19</v>
      </c>
      <c r="M165">
        <v>0.56999999999999995</v>
      </c>
      <c r="N165">
        <v>14</v>
      </c>
      <c r="O165">
        <v>0.65</v>
      </c>
      <c r="P165" t="s">
        <v>19</v>
      </c>
    </row>
    <row r="166" spans="1:16" x14ac:dyDescent="0.35">
      <c r="A166" t="s">
        <v>192</v>
      </c>
      <c r="B166">
        <v>165</v>
      </c>
      <c r="C166">
        <v>19</v>
      </c>
      <c r="D166" t="s">
        <v>16</v>
      </c>
      <c r="E166" t="s">
        <v>30</v>
      </c>
      <c r="F166">
        <v>2.95</v>
      </c>
      <c r="G166">
        <v>5</v>
      </c>
      <c r="H166">
        <v>81.099999999999994</v>
      </c>
      <c r="I166">
        <v>0.75</v>
      </c>
      <c r="J166" t="s">
        <v>23</v>
      </c>
      <c r="K166">
        <v>1</v>
      </c>
      <c r="L166">
        <v>52</v>
      </c>
      <c r="M166">
        <v>0.85</v>
      </c>
      <c r="N166">
        <v>19</v>
      </c>
      <c r="O166">
        <v>0.56999999999999995</v>
      </c>
      <c r="P166" t="s">
        <v>24</v>
      </c>
    </row>
    <row r="167" spans="1:16" x14ac:dyDescent="0.35">
      <c r="A167" t="s">
        <v>193</v>
      </c>
      <c r="B167">
        <v>166</v>
      </c>
      <c r="C167">
        <v>18</v>
      </c>
      <c r="D167" t="s">
        <v>16</v>
      </c>
      <c r="E167" t="s">
        <v>17</v>
      </c>
      <c r="F167">
        <v>2.12</v>
      </c>
      <c r="G167">
        <v>4</v>
      </c>
      <c r="H167">
        <v>73.400000000000006</v>
      </c>
      <c r="I167">
        <v>0.94</v>
      </c>
      <c r="J167" t="s">
        <v>28</v>
      </c>
      <c r="K167">
        <v>38</v>
      </c>
      <c r="L167">
        <v>30</v>
      </c>
      <c r="M167">
        <v>0.51</v>
      </c>
      <c r="N167">
        <v>1</v>
      </c>
      <c r="O167">
        <v>0.91</v>
      </c>
      <c r="P167" t="s">
        <v>19</v>
      </c>
    </row>
    <row r="168" spans="1:16" x14ac:dyDescent="0.35">
      <c r="A168" t="s">
        <v>194</v>
      </c>
      <c r="B168">
        <v>167</v>
      </c>
      <c r="C168">
        <v>25</v>
      </c>
      <c r="D168" t="s">
        <v>16</v>
      </c>
      <c r="E168" t="s">
        <v>17</v>
      </c>
      <c r="F168">
        <v>3.34</v>
      </c>
      <c r="G168">
        <v>5</v>
      </c>
      <c r="H168">
        <v>80.8</v>
      </c>
      <c r="I168">
        <v>0.9</v>
      </c>
      <c r="J168" t="s">
        <v>28</v>
      </c>
      <c r="K168">
        <v>33</v>
      </c>
      <c r="L168">
        <v>24</v>
      </c>
      <c r="M168">
        <v>0.93</v>
      </c>
      <c r="N168">
        <v>15</v>
      </c>
      <c r="O168">
        <v>0.92</v>
      </c>
      <c r="P168" t="s">
        <v>41</v>
      </c>
    </row>
    <row r="169" spans="1:16" x14ac:dyDescent="0.35">
      <c r="A169" t="s">
        <v>195</v>
      </c>
      <c r="B169">
        <v>168</v>
      </c>
      <c r="C169">
        <v>24</v>
      </c>
      <c r="D169" t="s">
        <v>16</v>
      </c>
      <c r="E169" t="s">
        <v>17</v>
      </c>
      <c r="F169">
        <v>3.16</v>
      </c>
      <c r="G169">
        <v>3</v>
      </c>
      <c r="H169">
        <v>67.900000000000006</v>
      </c>
      <c r="I169">
        <v>0.71</v>
      </c>
      <c r="J169" t="s">
        <v>18</v>
      </c>
      <c r="K169">
        <v>19</v>
      </c>
      <c r="L169">
        <v>44</v>
      </c>
      <c r="M169">
        <v>0.85</v>
      </c>
      <c r="N169">
        <v>16</v>
      </c>
      <c r="O169">
        <v>0.91</v>
      </c>
      <c r="P169" t="s">
        <v>19</v>
      </c>
    </row>
    <row r="170" spans="1:16" x14ac:dyDescent="0.35">
      <c r="A170" t="s">
        <v>196</v>
      </c>
      <c r="B170">
        <v>169</v>
      </c>
      <c r="C170">
        <v>24</v>
      </c>
      <c r="D170" t="s">
        <v>21</v>
      </c>
      <c r="E170" t="s">
        <v>22</v>
      </c>
      <c r="F170">
        <v>3.98</v>
      </c>
      <c r="G170">
        <v>5</v>
      </c>
      <c r="H170">
        <v>92.2</v>
      </c>
      <c r="I170">
        <v>0.65</v>
      </c>
      <c r="J170" t="s">
        <v>18</v>
      </c>
      <c r="K170">
        <v>32</v>
      </c>
      <c r="L170">
        <v>69</v>
      </c>
      <c r="M170">
        <v>0.88</v>
      </c>
      <c r="N170">
        <v>14</v>
      </c>
      <c r="O170">
        <v>0.82</v>
      </c>
      <c r="P170" t="s">
        <v>19</v>
      </c>
    </row>
    <row r="171" spans="1:16" x14ac:dyDescent="0.35">
      <c r="A171" t="s">
        <v>197</v>
      </c>
      <c r="B171">
        <v>170</v>
      </c>
      <c r="C171">
        <v>23</v>
      </c>
      <c r="D171" t="s">
        <v>32</v>
      </c>
      <c r="E171" t="s">
        <v>30</v>
      </c>
      <c r="F171">
        <v>2.48</v>
      </c>
      <c r="G171">
        <v>3</v>
      </c>
      <c r="H171">
        <v>67.400000000000006</v>
      </c>
      <c r="I171">
        <v>0.7</v>
      </c>
      <c r="J171" t="s">
        <v>28</v>
      </c>
      <c r="K171">
        <v>3</v>
      </c>
      <c r="L171">
        <v>53</v>
      </c>
      <c r="M171">
        <v>0.92</v>
      </c>
      <c r="N171">
        <v>2</v>
      </c>
      <c r="O171">
        <v>0.68</v>
      </c>
      <c r="P171" t="s">
        <v>19</v>
      </c>
    </row>
    <row r="172" spans="1:16" x14ac:dyDescent="0.35">
      <c r="A172" t="s">
        <v>198</v>
      </c>
      <c r="B172">
        <v>171</v>
      </c>
      <c r="C172">
        <v>25</v>
      </c>
      <c r="D172" t="s">
        <v>21</v>
      </c>
      <c r="E172" t="s">
        <v>30</v>
      </c>
      <c r="F172">
        <v>3.06</v>
      </c>
      <c r="G172">
        <v>3</v>
      </c>
      <c r="H172">
        <v>63.4</v>
      </c>
      <c r="I172">
        <v>0.97</v>
      </c>
      <c r="J172" t="s">
        <v>28</v>
      </c>
      <c r="K172">
        <v>10</v>
      </c>
      <c r="L172">
        <v>14</v>
      </c>
      <c r="M172">
        <v>0.56000000000000005</v>
      </c>
      <c r="N172">
        <v>3</v>
      </c>
      <c r="O172">
        <v>0.65</v>
      </c>
      <c r="P172" t="s">
        <v>41</v>
      </c>
    </row>
    <row r="173" spans="1:16" x14ac:dyDescent="0.35">
      <c r="A173" t="s">
        <v>199</v>
      </c>
      <c r="B173">
        <v>172</v>
      </c>
      <c r="C173">
        <v>22</v>
      </c>
      <c r="D173" t="s">
        <v>16</v>
      </c>
      <c r="E173" t="s">
        <v>46</v>
      </c>
      <c r="F173">
        <v>3.3</v>
      </c>
      <c r="G173">
        <v>6</v>
      </c>
      <c r="H173">
        <v>77.400000000000006</v>
      </c>
      <c r="I173">
        <v>0.83</v>
      </c>
      <c r="J173" t="s">
        <v>23</v>
      </c>
      <c r="K173">
        <v>4</v>
      </c>
      <c r="L173">
        <v>82</v>
      </c>
      <c r="M173">
        <v>0.91</v>
      </c>
      <c r="N173">
        <v>11</v>
      </c>
      <c r="O173">
        <v>0.5</v>
      </c>
      <c r="P173" t="s">
        <v>24</v>
      </c>
    </row>
    <row r="174" spans="1:16" x14ac:dyDescent="0.35">
      <c r="A174" t="s">
        <v>200</v>
      </c>
      <c r="B174">
        <v>173</v>
      </c>
      <c r="C174">
        <v>20</v>
      </c>
      <c r="D174" t="s">
        <v>21</v>
      </c>
      <c r="E174" t="s">
        <v>30</v>
      </c>
      <c r="F174">
        <v>3.29</v>
      </c>
      <c r="G174">
        <v>3</v>
      </c>
      <c r="H174">
        <v>86.3</v>
      </c>
      <c r="I174">
        <v>0.81</v>
      </c>
      <c r="J174" t="s">
        <v>28</v>
      </c>
      <c r="K174">
        <v>24</v>
      </c>
      <c r="L174">
        <v>27</v>
      </c>
      <c r="M174">
        <v>0.75</v>
      </c>
      <c r="N174">
        <v>4</v>
      </c>
      <c r="O174">
        <v>0.92</v>
      </c>
      <c r="P174" t="s">
        <v>24</v>
      </c>
    </row>
    <row r="175" spans="1:16" x14ac:dyDescent="0.35">
      <c r="A175" t="s">
        <v>201</v>
      </c>
      <c r="B175">
        <v>174</v>
      </c>
      <c r="C175">
        <v>21</v>
      </c>
      <c r="D175" t="s">
        <v>16</v>
      </c>
      <c r="E175" t="s">
        <v>30</v>
      </c>
      <c r="F175">
        <v>3.12</v>
      </c>
      <c r="G175">
        <v>4</v>
      </c>
      <c r="H175">
        <v>77.5</v>
      </c>
      <c r="I175">
        <v>0.84</v>
      </c>
      <c r="J175" t="s">
        <v>18</v>
      </c>
      <c r="K175">
        <v>36</v>
      </c>
      <c r="L175">
        <v>30</v>
      </c>
      <c r="M175">
        <v>0.94</v>
      </c>
      <c r="N175">
        <v>16</v>
      </c>
      <c r="O175">
        <v>0.54</v>
      </c>
      <c r="P175" t="s">
        <v>24</v>
      </c>
    </row>
    <row r="176" spans="1:16" x14ac:dyDescent="0.35">
      <c r="A176" t="s">
        <v>202</v>
      </c>
      <c r="B176">
        <v>175</v>
      </c>
      <c r="C176">
        <v>25</v>
      </c>
      <c r="D176" t="s">
        <v>16</v>
      </c>
      <c r="E176" t="s">
        <v>17</v>
      </c>
      <c r="F176">
        <v>3.55</v>
      </c>
      <c r="G176">
        <v>6</v>
      </c>
      <c r="H176">
        <v>71.099999999999994</v>
      </c>
      <c r="I176">
        <v>0.75</v>
      </c>
      <c r="J176" t="s">
        <v>28</v>
      </c>
      <c r="K176">
        <v>33</v>
      </c>
      <c r="L176">
        <v>81</v>
      </c>
      <c r="M176">
        <v>0.94</v>
      </c>
      <c r="N176">
        <v>5</v>
      </c>
      <c r="O176">
        <v>0.82</v>
      </c>
      <c r="P176" t="s">
        <v>24</v>
      </c>
    </row>
    <row r="177" spans="1:16" x14ac:dyDescent="0.35">
      <c r="A177" t="s">
        <v>203</v>
      </c>
      <c r="B177">
        <v>176</v>
      </c>
      <c r="C177">
        <v>23</v>
      </c>
      <c r="D177" t="s">
        <v>21</v>
      </c>
      <c r="E177" t="s">
        <v>46</v>
      </c>
      <c r="F177">
        <v>2.41</v>
      </c>
      <c r="G177">
        <v>6</v>
      </c>
      <c r="H177">
        <v>82.3</v>
      </c>
      <c r="I177">
        <v>0.92</v>
      </c>
      <c r="J177" t="s">
        <v>18</v>
      </c>
      <c r="K177">
        <v>8</v>
      </c>
      <c r="L177">
        <v>83</v>
      </c>
      <c r="M177">
        <v>0.51</v>
      </c>
      <c r="N177">
        <v>9</v>
      </c>
      <c r="O177">
        <v>0.75</v>
      </c>
      <c r="P177" t="s">
        <v>19</v>
      </c>
    </row>
    <row r="178" spans="1:16" x14ac:dyDescent="0.35">
      <c r="A178" t="s">
        <v>204</v>
      </c>
      <c r="B178">
        <v>177</v>
      </c>
      <c r="C178">
        <v>20</v>
      </c>
      <c r="D178" t="s">
        <v>16</v>
      </c>
      <c r="E178" t="s">
        <v>30</v>
      </c>
      <c r="F178">
        <v>3.45</v>
      </c>
      <c r="G178">
        <v>5</v>
      </c>
      <c r="H178">
        <v>73.900000000000006</v>
      </c>
      <c r="I178">
        <v>0.81</v>
      </c>
      <c r="J178" t="s">
        <v>18</v>
      </c>
      <c r="K178">
        <v>5</v>
      </c>
      <c r="L178">
        <v>60</v>
      </c>
      <c r="M178">
        <v>0.69</v>
      </c>
      <c r="N178">
        <v>17</v>
      </c>
      <c r="O178">
        <v>0.76</v>
      </c>
      <c r="P178" t="s">
        <v>24</v>
      </c>
    </row>
    <row r="179" spans="1:16" x14ac:dyDescent="0.35">
      <c r="A179" t="s">
        <v>205</v>
      </c>
      <c r="B179">
        <v>178</v>
      </c>
      <c r="C179">
        <v>20</v>
      </c>
      <c r="D179" t="s">
        <v>32</v>
      </c>
      <c r="E179" t="s">
        <v>22</v>
      </c>
      <c r="F179">
        <v>3.24</v>
      </c>
      <c r="G179">
        <v>3</v>
      </c>
      <c r="H179">
        <v>97.3</v>
      </c>
      <c r="I179">
        <v>0.65</v>
      </c>
      <c r="J179" t="s">
        <v>23</v>
      </c>
      <c r="K179">
        <v>17</v>
      </c>
      <c r="L179">
        <v>50</v>
      </c>
      <c r="M179">
        <v>0.76</v>
      </c>
      <c r="N179">
        <v>9</v>
      </c>
      <c r="O179">
        <v>0.96</v>
      </c>
      <c r="P179" t="s">
        <v>19</v>
      </c>
    </row>
    <row r="180" spans="1:16" x14ac:dyDescent="0.35">
      <c r="A180" t="s">
        <v>206</v>
      </c>
      <c r="B180">
        <v>179</v>
      </c>
      <c r="C180">
        <v>18</v>
      </c>
      <c r="D180" t="s">
        <v>16</v>
      </c>
      <c r="E180" t="s">
        <v>30</v>
      </c>
      <c r="F180">
        <v>3.79</v>
      </c>
      <c r="G180">
        <v>3</v>
      </c>
      <c r="H180">
        <v>96.9</v>
      </c>
      <c r="I180">
        <v>0.65</v>
      </c>
      <c r="J180" t="s">
        <v>23</v>
      </c>
      <c r="K180">
        <v>13</v>
      </c>
      <c r="L180">
        <v>33</v>
      </c>
      <c r="M180">
        <v>0.84</v>
      </c>
      <c r="N180">
        <v>5</v>
      </c>
      <c r="O180">
        <v>0.52</v>
      </c>
      <c r="P180" t="s">
        <v>19</v>
      </c>
    </row>
    <row r="181" spans="1:16" x14ac:dyDescent="0.35">
      <c r="A181" t="s">
        <v>207</v>
      </c>
      <c r="B181">
        <v>180</v>
      </c>
      <c r="C181">
        <v>20</v>
      </c>
      <c r="D181" t="s">
        <v>32</v>
      </c>
      <c r="E181" t="s">
        <v>17</v>
      </c>
      <c r="F181">
        <v>3.69</v>
      </c>
      <c r="G181">
        <v>4</v>
      </c>
      <c r="H181">
        <v>80.099999999999994</v>
      </c>
      <c r="I181">
        <v>0.81</v>
      </c>
      <c r="J181" t="s">
        <v>23</v>
      </c>
      <c r="K181">
        <v>18</v>
      </c>
      <c r="L181">
        <v>33</v>
      </c>
      <c r="M181">
        <v>0.64</v>
      </c>
      <c r="N181">
        <v>5</v>
      </c>
      <c r="O181">
        <v>0.89</v>
      </c>
      <c r="P181" t="s">
        <v>24</v>
      </c>
    </row>
    <row r="182" spans="1:16" x14ac:dyDescent="0.35">
      <c r="A182" t="s">
        <v>208</v>
      </c>
      <c r="B182">
        <v>181</v>
      </c>
      <c r="C182">
        <v>22</v>
      </c>
      <c r="D182" t="s">
        <v>32</v>
      </c>
      <c r="E182" t="s">
        <v>22</v>
      </c>
      <c r="F182">
        <v>2.63</v>
      </c>
      <c r="G182">
        <v>5</v>
      </c>
      <c r="H182">
        <v>73.099999999999994</v>
      </c>
      <c r="I182">
        <v>0.97</v>
      </c>
      <c r="J182" t="s">
        <v>23</v>
      </c>
      <c r="K182">
        <v>13</v>
      </c>
      <c r="L182">
        <v>47</v>
      </c>
      <c r="M182">
        <v>0.63</v>
      </c>
      <c r="N182">
        <v>19</v>
      </c>
      <c r="O182">
        <v>0.53</v>
      </c>
      <c r="P182" t="s">
        <v>24</v>
      </c>
    </row>
    <row r="183" spans="1:16" x14ac:dyDescent="0.35">
      <c r="A183" t="s">
        <v>209</v>
      </c>
      <c r="B183">
        <v>182</v>
      </c>
      <c r="C183">
        <v>24</v>
      </c>
      <c r="D183" t="s">
        <v>16</v>
      </c>
      <c r="E183" t="s">
        <v>17</v>
      </c>
      <c r="F183">
        <v>2.5499999999999998</v>
      </c>
      <c r="G183">
        <v>5</v>
      </c>
      <c r="H183">
        <v>89.5</v>
      </c>
      <c r="I183">
        <v>0.72</v>
      </c>
      <c r="J183" t="s">
        <v>28</v>
      </c>
      <c r="K183">
        <v>39</v>
      </c>
      <c r="L183">
        <v>53</v>
      </c>
      <c r="M183">
        <v>0.69</v>
      </c>
      <c r="N183">
        <v>14</v>
      </c>
      <c r="O183">
        <v>0.52</v>
      </c>
      <c r="P183" t="s">
        <v>19</v>
      </c>
    </row>
    <row r="184" spans="1:16" x14ac:dyDescent="0.35">
      <c r="A184" t="s">
        <v>210</v>
      </c>
      <c r="B184">
        <v>183</v>
      </c>
      <c r="C184">
        <v>23</v>
      </c>
      <c r="D184" t="s">
        <v>21</v>
      </c>
      <c r="E184" t="s">
        <v>30</v>
      </c>
      <c r="F184">
        <v>3.96</v>
      </c>
      <c r="G184">
        <v>6</v>
      </c>
      <c r="H184">
        <v>61.5</v>
      </c>
      <c r="I184">
        <v>0.95</v>
      </c>
      <c r="J184" t="s">
        <v>23</v>
      </c>
      <c r="K184">
        <v>16</v>
      </c>
      <c r="L184">
        <v>66</v>
      </c>
      <c r="M184">
        <v>0.75</v>
      </c>
      <c r="N184">
        <v>3</v>
      </c>
      <c r="O184">
        <v>0.71</v>
      </c>
      <c r="P184" t="s">
        <v>41</v>
      </c>
    </row>
    <row r="185" spans="1:16" x14ac:dyDescent="0.35">
      <c r="A185" t="s">
        <v>211</v>
      </c>
      <c r="B185">
        <v>184</v>
      </c>
      <c r="C185">
        <v>20</v>
      </c>
      <c r="D185" t="s">
        <v>32</v>
      </c>
      <c r="E185" t="s">
        <v>22</v>
      </c>
      <c r="F185">
        <v>3.05</v>
      </c>
      <c r="G185">
        <v>6</v>
      </c>
      <c r="H185">
        <v>79</v>
      </c>
      <c r="I185">
        <v>0.91</v>
      </c>
      <c r="J185" t="s">
        <v>28</v>
      </c>
      <c r="K185">
        <v>34</v>
      </c>
      <c r="L185">
        <v>68</v>
      </c>
      <c r="M185">
        <v>0.98</v>
      </c>
      <c r="N185">
        <v>15</v>
      </c>
      <c r="O185">
        <v>0.53</v>
      </c>
      <c r="P185" t="s">
        <v>41</v>
      </c>
    </row>
    <row r="186" spans="1:16" x14ac:dyDescent="0.35">
      <c r="A186" t="s">
        <v>212</v>
      </c>
      <c r="B186">
        <v>185</v>
      </c>
      <c r="C186">
        <v>18</v>
      </c>
      <c r="D186" t="s">
        <v>21</v>
      </c>
      <c r="E186" t="s">
        <v>46</v>
      </c>
      <c r="F186">
        <v>3.81</v>
      </c>
      <c r="G186">
        <v>6</v>
      </c>
      <c r="H186">
        <v>73.5</v>
      </c>
      <c r="I186">
        <v>0.7</v>
      </c>
      <c r="J186" t="s">
        <v>23</v>
      </c>
      <c r="K186">
        <v>28</v>
      </c>
      <c r="L186">
        <v>43</v>
      </c>
      <c r="M186">
        <v>0.88</v>
      </c>
      <c r="N186">
        <v>7</v>
      </c>
      <c r="O186">
        <v>0.89</v>
      </c>
      <c r="P186" t="s">
        <v>19</v>
      </c>
    </row>
    <row r="187" spans="1:16" x14ac:dyDescent="0.35">
      <c r="A187" t="s">
        <v>213</v>
      </c>
      <c r="B187">
        <v>186</v>
      </c>
      <c r="C187">
        <v>22</v>
      </c>
      <c r="D187" t="s">
        <v>32</v>
      </c>
      <c r="E187" t="s">
        <v>46</v>
      </c>
      <c r="F187">
        <v>2.33</v>
      </c>
      <c r="G187">
        <v>4</v>
      </c>
      <c r="H187">
        <v>96.8</v>
      </c>
      <c r="I187">
        <v>0.61</v>
      </c>
      <c r="J187" t="s">
        <v>23</v>
      </c>
      <c r="K187">
        <v>16</v>
      </c>
      <c r="L187">
        <v>84</v>
      </c>
      <c r="M187">
        <v>0.71</v>
      </c>
      <c r="N187">
        <v>6</v>
      </c>
      <c r="O187">
        <v>0.76</v>
      </c>
      <c r="P187" t="s">
        <v>19</v>
      </c>
    </row>
    <row r="188" spans="1:16" x14ac:dyDescent="0.35">
      <c r="A188" t="s">
        <v>214</v>
      </c>
      <c r="B188">
        <v>187</v>
      </c>
      <c r="C188">
        <v>19</v>
      </c>
      <c r="D188" t="s">
        <v>16</v>
      </c>
      <c r="E188" t="s">
        <v>22</v>
      </c>
      <c r="F188">
        <v>3.29</v>
      </c>
      <c r="G188">
        <v>4</v>
      </c>
      <c r="H188">
        <v>60.5</v>
      </c>
      <c r="I188">
        <v>0.64</v>
      </c>
      <c r="J188" t="s">
        <v>18</v>
      </c>
      <c r="K188">
        <v>7</v>
      </c>
      <c r="L188">
        <v>32</v>
      </c>
      <c r="M188">
        <v>0.53</v>
      </c>
      <c r="N188">
        <v>18</v>
      </c>
      <c r="O188">
        <v>0.51</v>
      </c>
      <c r="P188" t="s">
        <v>19</v>
      </c>
    </row>
    <row r="189" spans="1:16" x14ac:dyDescent="0.35">
      <c r="A189" t="s">
        <v>215</v>
      </c>
      <c r="B189">
        <v>188</v>
      </c>
      <c r="C189">
        <v>24</v>
      </c>
      <c r="D189" t="s">
        <v>16</v>
      </c>
      <c r="E189" t="s">
        <v>22</v>
      </c>
      <c r="F189">
        <v>3.62</v>
      </c>
      <c r="G189">
        <v>6</v>
      </c>
      <c r="H189">
        <v>82.1</v>
      </c>
      <c r="I189">
        <v>0.89</v>
      </c>
      <c r="J189" t="s">
        <v>28</v>
      </c>
      <c r="K189">
        <v>0</v>
      </c>
      <c r="L189">
        <v>52</v>
      </c>
      <c r="M189">
        <v>0.57999999999999996</v>
      </c>
      <c r="N189">
        <v>16</v>
      </c>
      <c r="O189">
        <v>0.52</v>
      </c>
      <c r="P189" t="s">
        <v>41</v>
      </c>
    </row>
    <row r="190" spans="1:16" x14ac:dyDescent="0.35">
      <c r="A190" t="s">
        <v>216</v>
      </c>
      <c r="B190">
        <v>189</v>
      </c>
      <c r="C190">
        <v>24</v>
      </c>
      <c r="D190" t="s">
        <v>32</v>
      </c>
      <c r="E190" t="s">
        <v>17</v>
      </c>
      <c r="F190">
        <v>3.89</v>
      </c>
      <c r="G190">
        <v>5</v>
      </c>
      <c r="H190">
        <v>89.6</v>
      </c>
      <c r="I190">
        <v>0.68</v>
      </c>
      <c r="J190" t="s">
        <v>18</v>
      </c>
      <c r="K190">
        <v>35</v>
      </c>
      <c r="L190">
        <v>49</v>
      </c>
      <c r="M190">
        <v>0.73</v>
      </c>
      <c r="N190">
        <v>12</v>
      </c>
      <c r="O190">
        <v>0.81</v>
      </c>
      <c r="P190" t="s">
        <v>19</v>
      </c>
    </row>
    <row r="191" spans="1:16" x14ac:dyDescent="0.35">
      <c r="A191" t="s">
        <v>217</v>
      </c>
      <c r="B191">
        <v>190</v>
      </c>
      <c r="C191">
        <v>23</v>
      </c>
      <c r="D191" t="s">
        <v>16</v>
      </c>
      <c r="E191" t="s">
        <v>22</v>
      </c>
      <c r="F191">
        <v>2.67</v>
      </c>
      <c r="G191">
        <v>4</v>
      </c>
      <c r="H191">
        <v>79.400000000000006</v>
      </c>
      <c r="I191">
        <v>0.75</v>
      </c>
      <c r="J191" t="s">
        <v>23</v>
      </c>
      <c r="K191">
        <v>6</v>
      </c>
      <c r="L191">
        <v>56</v>
      </c>
      <c r="M191">
        <v>0.91</v>
      </c>
      <c r="N191">
        <v>14</v>
      </c>
      <c r="O191">
        <v>0.9</v>
      </c>
      <c r="P191" t="s">
        <v>24</v>
      </c>
    </row>
    <row r="192" spans="1:16" x14ac:dyDescent="0.35">
      <c r="A192" t="s">
        <v>218</v>
      </c>
      <c r="B192">
        <v>191</v>
      </c>
      <c r="C192">
        <v>24</v>
      </c>
      <c r="D192" t="s">
        <v>32</v>
      </c>
      <c r="E192" t="s">
        <v>17</v>
      </c>
      <c r="F192">
        <v>3.45</v>
      </c>
      <c r="G192">
        <v>5</v>
      </c>
      <c r="H192">
        <v>63.4</v>
      </c>
      <c r="I192">
        <v>0.8</v>
      </c>
      <c r="J192" t="s">
        <v>28</v>
      </c>
      <c r="K192">
        <v>4</v>
      </c>
      <c r="L192">
        <v>50</v>
      </c>
      <c r="M192">
        <v>0.69</v>
      </c>
      <c r="N192">
        <v>1</v>
      </c>
      <c r="O192">
        <v>0.72</v>
      </c>
      <c r="P192" t="s">
        <v>24</v>
      </c>
    </row>
    <row r="193" spans="1:16" x14ac:dyDescent="0.35">
      <c r="A193" t="s">
        <v>219</v>
      </c>
      <c r="B193">
        <v>192</v>
      </c>
      <c r="C193">
        <v>20</v>
      </c>
      <c r="D193" t="s">
        <v>16</v>
      </c>
      <c r="E193" t="s">
        <v>30</v>
      </c>
      <c r="F193">
        <v>3.08</v>
      </c>
      <c r="G193">
        <v>5</v>
      </c>
      <c r="H193">
        <v>98.9</v>
      </c>
      <c r="I193">
        <v>0.89</v>
      </c>
      <c r="J193" t="s">
        <v>23</v>
      </c>
      <c r="K193">
        <v>23</v>
      </c>
      <c r="L193">
        <v>56</v>
      </c>
      <c r="M193">
        <v>0.77</v>
      </c>
      <c r="N193">
        <v>9</v>
      </c>
      <c r="O193">
        <v>0.78</v>
      </c>
      <c r="P193" t="s">
        <v>41</v>
      </c>
    </row>
    <row r="194" spans="1:16" x14ac:dyDescent="0.35">
      <c r="A194" t="s">
        <v>220</v>
      </c>
      <c r="B194">
        <v>193</v>
      </c>
      <c r="C194">
        <v>18</v>
      </c>
      <c r="D194" t="s">
        <v>21</v>
      </c>
      <c r="E194" t="s">
        <v>17</v>
      </c>
      <c r="F194">
        <v>2.12</v>
      </c>
      <c r="G194">
        <v>3</v>
      </c>
      <c r="H194">
        <v>80.7</v>
      </c>
      <c r="I194">
        <v>0.65</v>
      </c>
      <c r="J194" t="s">
        <v>18</v>
      </c>
      <c r="K194">
        <v>27</v>
      </c>
      <c r="L194">
        <v>29</v>
      </c>
      <c r="M194">
        <v>0.95</v>
      </c>
      <c r="N194">
        <v>12</v>
      </c>
      <c r="O194">
        <v>0.9</v>
      </c>
      <c r="P194" t="s">
        <v>19</v>
      </c>
    </row>
    <row r="195" spans="1:16" x14ac:dyDescent="0.35">
      <c r="A195" t="s">
        <v>221</v>
      </c>
      <c r="B195">
        <v>194</v>
      </c>
      <c r="C195">
        <v>24</v>
      </c>
      <c r="D195" t="s">
        <v>16</v>
      </c>
      <c r="E195" t="s">
        <v>22</v>
      </c>
      <c r="F195">
        <v>3.38</v>
      </c>
      <c r="G195">
        <v>6</v>
      </c>
      <c r="H195">
        <v>84.6</v>
      </c>
      <c r="I195">
        <v>0.76</v>
      </c>
      <c r="J195" t="s">
        <v>28</v>
      </c>
      <c r="K195">
        <v>16</v>
      </c>
      <c r="L195">
        <v>86</v>
      </c>
      <c r="M195">
        <v>0.96</v>
      </c>
      <c r="N195">
        <v>17</v>
      </c>
      <c r="O195">
        <v>0.81</v>
      </c>
      <c r="P195" t="s">
        <v>24</v>
      </c>
    </row>
    <row r="196" spans="1:16" x14ac:dyDescent="0.35">
      <c r="A196" t="s">
        <v>222</v>
      </c>
      <c r="B196">
        <v>195</v>
      </c>
      <c r="C196">
        <v>24</v>
      </c>
      <c r="D196" t="s">
        <v>21</v>
      </c>
      <c r="E196" t="s">
        <v>22</v>
      </c>
      <c r="F196">
        <v>3.38</v>
      </c>
      <c r="G196">
        <v>3</v>
      </c>
      <c r="H196">
        <v>69.5</v>
      </c>
      <c r="I196">
        <v>0.79</v>
      </c>
      <c r="J196" t="s">
        <v>18</v>
      </c>
      <c r="K196">
        <v>36</v>
      </c>
      <c r="L196">
        <v>74</v>
      </c>
      <c r="M196">
        <v>0.61</v>
      </c>
      <c r="N196">
        <v>10</v>
      </c>
      <c r="O196">
        <v>0.61</v>
      </c>
      <c r="P196" t="s">
        <v>24</v>
      </c>
    </row>
    <row r="197" spans="1:16" x14ac:dyDescent="0.35">
      <c r="A197" t="s">
        <v>223</v>
      </c>
      <c r="B197">
        <v>196</v>
      </c>
      <c r="C197">
        <v>19</v>
      </c>
      <c r="D197" t="s">
        <v>16</v>
      </c>
      <c r="E197" t="s">
        <v>30</v>
      </c>
      <c r="F197">
        <v>3.86</v>
      </c>
      <c r="G197">
        <v>6</v>
      </c>
      <c r="H197">
        <v>79.3</v>
      </c>
      <c r="I197">
        <v>0.82</v>
      </c>
      <c r="J197" t="s">
        <v>23</v>
      </c>
      <c r="K197">
        <v>19</v>
      </c>
      <c r="L197">
        <v>77</v>
      </c>
      <c r="M197">
        <v>0.52</v>
      </c>
      <c r="N197">
        <v>12</v>
      </c>
      <c r="O197">
        <v>0.81</v>
      </c>
      <c r="P197" t="s">
        <v>24</v>
      </c>
    </row>
    <row r="198" spans="1:16" x14ac:dyDescent="0.35">
      <c r="A198" t="s">
        <v>224</v>
      </c>
      <c r="B198">
        <v>197</v>
      </c>
      <c r="C198">
        <v>19</v>
      </c>
      <c r="D198" t="s">
        <v>21</v>
      </c>
      <c r="E198" t="s">
        <v>22</v>
      </c>
      <c r="F198">
        <v>2.99</v>
      </c>
      <c r="G198">
        <v>6</v>
      </c>
      <c r="H198">
        <v>77.2</v>
      </c>
      <c r="I198">
        <v>0.93</v>
      </c>
      <c r="J198" t="s">
        <v>23</v>
      </c>
      <c r="K198">
        <v>2</v>
      </c>
      <c r="L198">
        <v>33</v>
      </c>
      <c r="M198">
        <v>0.65</v>
      </c>
      <c r="N198">
        <v>18</v>
      </c>
      <c r="O198">
        <v>0.81</v>
      </c>
      <c r="P198" t="s">
        <v>24</v>
      </c>
    </row>
    <row r="199" spans="1:16" x14ac:dyDescent="0.35">
      <c r="A199" t="s">
        <v>225</v>
      </c>
      <c r="B199">
        <v>198</v>
      </c>
      <c r="C199">
        <v>21</v>
      </c>
      <c r="D199" t="s">
        <v>16</v>
      </c>
      <c r="E199" t="s">
        <v>22</v>
      </c>
      <c r="F199">
        <v>2.46</v>
      </c>
      <c r="G199">
        <v>5</v>
      </c>
      <c r="H199">
        <v>63</v>
      </c>
      <c r="I199">
        <v>0.67</v>
      </c>
      <c r="J199" t="s">
        <v>23</v>
      </c>
      <c r="K199">
        <v>36</v>
      </c>
      <c r="L199">
        <v>45</v>
      </c>
      <c r="M199">
        <v>0.85</v>
      </c>
      <c r="N199">
        <v>4</v>
      </c>
      <c r="O199">
        <v>0.87</v>
      </c>
      <c r="P199" t="s">
        <v>19</v>
      </c>
    </row>
    <row r="200" spans="1:16" x14ac:dyDescent="0.35">
      <c r="A200" t="s">
        <v>226</v>
      </c>
      <c r="B200">
        <v>199</v>
      </c>
      <c r="C200">
        <v>22</v>
      </c>
      <c r="D200" t="s">
        <v>21</v>
      </c>
      <c r="E200" t="s">
        <v>46</v>
      </c>
      <c r="F200">
        <v>2.09</v>
      </c>
      <c r="G200">
        <v>6</v>
      </c>
      <c r="H200">
        <v>64.2</v>
      </c>
      <c r="I200">
        <v>0.92</v>
      </c>
      <c r="J200" t="s">
        <v>28</v>
      </c>
      <c r="K200">
        <v>25</v>
      </c>
      <c r="L200">
        <v>54</v>
      </c>
      <c r="M200">
        <v>0.98</v>
      </c>
      <c r="N200">
        <v>2</v>
      </c>
      <c r="O200">
        <v>0.81</v>
      </c>
      <c r="P200" t="s">
        <v>19</v>
      </c>
    </row>
    <row r="201" spans="1:16" x14ac:dyDescent="0.35">
      <c r="A201" t="s">
        <v>227</v>
      </c>
      <c r="B201">
        <v>200</v>
      </c>
      <c r="C201">
        <v>20</v>
      </c>
      <c r="D201" t="s">
        <v>32</v>
      </c>
      <c r="E201" t="s">
        <v>46</v>
      </c>
      <c r="F201">
        <v>2.83</v>
      </c>
      <c r="G201">
        <v>5</v>
      </c>
      <c r="H201">
        <v>93.5</v>
      </c>
      <c r="I201">
        <v>0.88</v>
      </c>
      <c r="J201" t="s">
        <v>18</v>
      </c>
      <c r="K201">
        <v>14</v>
      </c>
      <c r="L201">
        <v>11</v>
      </c>
      <c r="M201">
        <v>0.54</v>
      </c>
      <c r="N201">
        <v>18</v>
      </c>
      <c r="O201">
        <v>0.98</v>
      </c>
      <c r="P201" t="s">
        <v>24</v>
      </c>
    </row>
    <row r="202" spans="1:16" x14ac:dyDescent="0.35">
      <c r="A202" t="s">
        <v>228</v>
      </c>
      <c r="B202">
        <v>201</v>
      </c>
      <c r="C202">
        <v>24</v>
      </c>
      <c r="D202" t="s">
        <v>32</v>
      </c>
      <c r="E202" t="s">
        <v>30</v>
      </c>
      <c r="F202">
        <v>2.6</v>
      </c>
      <c r="G202">
        <v>5</v>
      </c>
      <c r="H202">
        <v>69.599999999999994</v>
      </c>
      <c r="I202">
        <v>0.82</v>
      </c>
      <c r="J202" t="s">
        <v>18</v>
      </c>
      <c r="K202">
        <v>7</v>
      </c>
      <c r="L202">
        <v>37</v>
      </c>
      <c r="M202">
        <v>0.51</v>
      </c>
      <c r="N202">
        <v>12</v>
      </c>
      <c r="O202">
        <v>0.6</v>
      </c>
      <c r="P202" t="s">
        <v>24</v>
      </c>
    </row>
    <row r="203" spans="1:16" x14ac:dyDescent="0.35">
      <c r="A203" t="s">
        <v>229</v>
      </c>
      <c r="B203">
        <v>202</v>
      </c>
      <c r="C203">
        <v>25</v>
      </c>
      <c r="D203" t="s">
        <v>21</v>
      </c>
      <c r="E203" t="s">
        <v>17</v>
      </c>
      <c r="F203">
        <v>3.52</v>
      </c>
      <c r="G203">
        <v>6</v>
      </c>
      <c r="H203">
        <v>67.8</v>
      </c>
      <c r="I203">
        <v>0.88</v>
      </c>
      <c r="J203" t="s">
        <v>23</v>
      </c>
      <c r="K203">
        <v>12</v>
      </c>
      <c r="L203">
        <v>35</v>
      </c>
      <c r="M203">
        <v>0.94</v>
      </c>
      <c r="N203">
        <v>4</v>
      </c>
      <c r="O203">
        <v>0.98</v>
      </c>
      <c r="P203" t="s">
        <v>41</v>
      </c>
    </row>
    <row r="204" spans="1:16" x14ac:dyDescent="0.35">
      <c r="A204" t="s">
        <v>230</v>
      </c>
      <c r="B204">
        <v>203</v>
      </c>
      <c r="C204">
        <v>24</v>
      </c>
      <c r="D204" t="s">
        <v>16</v>
      </c>
      <c r="E204" t="s">
        <v>46</v>
      </c>
      <c r="F204">
        <v>2.71</v>
      </c>
      <c r="G204">
        <v>5</v>
      </c>
      <c r="H204">
        <v>80.2</v>
      </c>
      <c r="I204">
        <v>0.76</v>
      </c>
      <c r="J204" t="s">
        <v>18</v>
      </c>
      <c r="K204">
        <v>2</v>
      </c>
      <c r="L204">
        <v>32</v>
      </c>
      <c r="M204">
        <v>0.87</v>
      </c>
      <c r="N204">
        <v>11</v>
      </c>
      <c r="O204">
        <v>0.77</v>
      </c>
      <c r="P204" t="s">
        <v>24</v>
      </c>
    </row>
    <row r="205" spans="1:16" x14ac:dyDescent="0.35">
      <c r="A205" t="s">
        <v>231</v>
      </c>
      <c r="B205">
        <v>204</v>
      </c>
      <c r="C205">
        <v>18</v>
      </c>
      <c r="D205" t="s">
        <v>21</v>
      </c>
      <c r="E205" t="s">
        <v>17</v>
      </c>
      <c r="F205">
        <v>3.9</v>
      </c>
      <c r="G205">
        <v>5</v>
      </c>
      <c r="H205">
        <v>90.7</v>
      </c>
      <c r="I205">
        <v>0.66</v>
      </c>
      <c r="J205" t="s">
        <v>28</v>
      </c>
      <c r="K205">
        <v>0</v>
      </c>
      <c r="L205">
        <v>88</v>
      </c>
      <c r="M205">
        <v>1</v>
      </c>
      <c r="N205">
        <v>13</v>
      </c>
      <c r="O205">
        <v>0.84</v>
      </c>
      <c r="P205" t="s">
        <v>19</v>
      </c>
    </row>
    <row r="206" spans="1:16" x14ac:dyDescent="0.35">
      <c r="A206" t="s">
        <v>232</v>
      </c>
      <c r="B206">
        <v>205</v>
      </c>
      <c r="C206">
        <v>21</v>
      </c>
      <c r="D206" t="s">
        <v>16</v>
      </c>
      <c r="E206" t="s">
        <v>22</v>
      </c>
      <c r="F206">
        <v>3.92</v>
      </c>
      <c r="G206">
        <v>5</v>
      </c>
      <c r="H206">
        <v>62.5</v>
      </c>
      <c r="I206">
        <v>0.87</v>
      </c>
      <c r="J206" t="s">
        <v>23</v>
      </c>
      <c r="K206">
        <v>8</v>
      </c>
      <c r="L206">
        <v>45</v>
      </c>
      <c r="M206">
        <v>0.7</v>
      </c>
      <c r="N206">
        <v>5</v>
      </c>
      <c r="O206">
        <v>0.55000000000000004</v>
      </c>
      <c r="P206" t="s">
        <v>41</v>
      </c>
    </row>
    <row r="207" spans="1:16" x14ac:dyDescent="0.35">
      <c r="A207" t="s">
        <v>233</v>
      </c>
      <c r="B207">
        <v>206</v>
      </c>
      <c r="C207">
        <v>22</v>
      </c>
      <c r="D207" t="s">
        <v>32</v>
      </c>
      <c r="E207" t="s">
        <v>46</v>
      </c>
      <c r="F207">
        <v>3.24</v>
      </c>
      <c r="G207">
        <v>4</v>
      </c>
      <c r="H207">
        <v>83.1</v>
      </c>
      <c r="I207">
        <v>0.81</v>
      </c>
      <c r="J207" t="s">
        <v>23</v>
      </c>
      <c r="K207">
        <v>30</v>
      </c>
      <c r="L207">
        <v>15</v>
      </c>
      <c r="M207">
        <v>0.71</v>
      </c>
      <c r="N207">
        <v>8</v>
      </c>
      <c r="O207">
        <v>0.69</v>
      </c>
      <c r="P207" t="s">
        <v>24</v>
      </c>
    </row>
    <row r="208" spans="1:16" x14ac:dyDescent="0.35">
      <c r="A208" t="s">
        <v>234</v>
      </c>
      <c r="B208">
        <v>207</v>
      </c>
      <c r="C208">
        <v>25</v>
      </c>
      <c r="D208" t="s">
        <v>16</v>
      </c>
      <c r="E208" t="s">
        <v>30</v>
      </c>
      <c r="F208">
        <v>3.86</v>
      </c>
      <c r="G208">
        <v>5</v>
      </c>
      <c r="H208">
        <v>64.8</v>
      </c>
      <c r="I208">
        <v>0.86</v>
      </c>
      <c r="J208" t="s">
        <v>23</v>
      </c>
      <c r="K208">
        <v>25</v>
      </c>
      <c r="L208">
        <v>44</v>
      </c>
      <c r="M208">
        <v>0.59</v>
      </c>
      <c r="N208">
        <v>16</v>
      </c>
      <c r="O208">
        <v>0.88</v>
      </c>
      <c r="P208" t="s">
        <v>41</v>
      </c>
    </row>
    <row r="209" spans="1:16" x14ac:dyDescent="0.35">
      <c r="A209" t="s">
        <v>235</v>
      </c>
      <c r="B209">
        <v>208</v>
      </c>
      <c r="C209">
        <v>21</v>
      </c>
      <c r="D209" t="s">
        <v>32</v>
      </c>
      <c r="E209" t="s">
        <v>30</v>
      </c>
      <c r="F209">
        <v>3.52</v>
      </c>
      <c r="G209">
        <v>4</v>
      </c>
      <c r="H209">
        <v>61.5</v>
      </c>
      <c r="I209">
        <v>0.74</v>
      </c>
      <c r="J209" t="s">
        <v>28</v>
      </c>
      <c r="K209">
        <v>16</v>
      </c>
      <c r="L209">
        <v>47</v>
      </c>
      <c r="M209">
        <v>0.56000000000000005</v>
      </c>
      <c r="N209">
        <v>7</v>
      </c>
      <c r="O209">
        <v>0.85</v>
      </c>
      <c r="P209" t="s">
        <v>19</v>
      </c>
    </row>
    <row r="210" spans="1:16" x14ac:dyDescent="0.35">
      <c r="A210" t="s">
        <v>236</v>
      </c>
      <c r="B210">
        <v>209</v>
      </c>
      <c r="C210">
        <v>23</v>
      </c>
      <c r="D210" t="s">
        <v>16</v>
      </c>
      <c r="E210" t="s">
        <v>30</v>
      </c>
      <c r="F210">
        <v>3.09</v>
      </c>
      <c r="G210">
        <v>4</v>
      </c>
      <c r="H210">
        <v>62.1</v>
      </c>
      <c r="I210">
        <v>0.96</v>
      </c>
      <c r="J210" t="s">
        <v>23</v>
      </c>
      <c r="K210">
        <v>33</v>
      </c>
      <c r="L210">
        <v>44</v>
      </c>
      <c r="M210">
        <v>0.79</v>
      </c>
      <c r="N210">
        <v>12</v>
      </c>
      <c r="O210">
        <v>0.52</v>
      </c>
      <c r="P210" t="s">
        <v>41</v>
      </c>
    </row>
    <row r="211" spans="1:16" x14ac:dyDescent="0.35">
      <c r="A211" t="s">
        <v>237</v>
      </c>
      <c r="B211">
        <v>210</v>
      </c>
      <c r="C211">
        <v>22</v>
      </c>
      <c r="D211" t="s">
        <v>16</v>
      </c>
      <c r="E211" t="s">
        <v>46</v>
      </c>
      <c r="F211">
        <v>2.36</v>
      </c>
      <c r="G211">
        <v>5</v>
      </c>
      <c r="H211">
        <v>93.4</v>
      </c>
      <c r="I211">
        <v>0.83</v>
      </c>
      <c r="J211" t="s">
        <v>23</v>
      </c>
      <c r="K211">
        <v>8</v>
      </c>
      <c r="L211">
        <v>83</v>
      </c>
      <c r="M211">
        <v>0.68</v>
      </c>
      <c r="N211">
        <v>4</v>
      </c>
      <c r="O211">
        <v>0.77</v>
      </c>
      <c r="P211" t="s">
        <v>19</v>
      </c>
    </row>
    <row r="212" spans="1:16" x14ac:dyDescent="0.35">
      <c r="A212" t="s">
        <v>238</v>
      </c>
      <c r="B212">
        <v>211</v>
      </c>
      <c r="C212">
        <v>24</v>
      </c>
      <c r="D212" t="s">
        <v>16</v>
      </c>
      <c r="E212" t="s">
        <v>17</v>
      </c>
      <c r="F212">
        <v>2.92</v>
      </c>
      <c r="G212">
        <v>5</v>
      </c>
      <c r="H212">
        <v>64.7</v>
      </c>
      <c r="I212">
        <v>0.63</v>
      </c>
      <c r="J212" t="s">
        <v>23</v>
      </c>
      <c r="K212">
        <v>12</v>
      </c>
      <c r="L212">
        <v>62</v>
      </c>
      <c r="M212">
        <v>0.54</v>
      </c>
      <c r="N212">
        <v>16</v>
      </c>
      <c r="O212">
        <v>0.54</v>
      </c>
      <c r="P212" t="s">
        <v>19</v>
      </c>
    </row>
    <row r="213" spans="1:16" x14ac:dyDescent="0.35">
      <c r="A213" t="s">
        <v>239</v>
      </c>
      <c r="B213">
        <v>212</v>
      </c>
      <c r="C213">
        <v>24</v>
      </c>
      <c r="D213" t="s">
        <v>21</v>
      </c>
      <c r="E213" t="s">
        <v>22</v>
      </c>
      <c r="F213">
        <v>3.12</v>
      </c>
      <c r="G213">
        <v>4</v>
      </c>
      <c r="H213">
        <v>61.8</v>
      </c>
      <c r="I213">
        <v>0.78</v>
      </c>
      <c r="J213" t="s">
        <v>23</v>
      </c>
      <c r="K213">
        <v>4</v>
      </c>
      <c r="L213">
        <v>47</v>
      </c>
      <c r="M213">
        <v>0.94</v>
      </c>
      <c r="N213">
        <v>2</v>
      </c>
      <c r="O213">
        <v>1</v>
      </c>
      <c r="P213" t="s">
        <v>24</v>
      </c>
    </row>
    <row r="214" spans="1:16" x14ac:dyDescent="0.35">
      <c r="A214" t="s">
        <v>240</v>
      </c>
      <c r="B214">
        <v>213</v>
      </c>
      <c r="C214">
        <v>22</v>
      </c>
      <c r="D214" t="s">
        <v>21</v>
      </c>
      <c r="E214" t="s">
        <v>17</v>
      </c>
      <c r="F214">
        <v>3.73</v>
      </c>
      <c r="G214">
        <v>4</v>
      </c>
      <c r="H214">
        <v>77.5</v>
      </c>
      <c r="I214">
        <v>0.9</v>
      </c>
      <c r="J214" t="s">
        <v>18</v>
      </c>
      <c r="K214">
        <v>12</v>
      </c>
      <c r="L214">
        <v>68</v>
      </c>
      <c r="M214">
        <v>0.6</v>
      </c>
      <c r="N214">
        <v>5</v>
      </c>
      <c r="O214">
        <v>0.95</v>
      </c>
      <c r="P214" t="s">
        <v>41</v>
      </c>
    </row>
    <row r="215" spans="1:16" x14ac:dyDescent="0.35">
      <c r="A215" t="s">
        <v>241</v>
      </c>
      <c r="B215">
        <v>214</v>
      </c>
      <c r="C215">
        <v>24</v>
      </c>
      <c r="D215" t="s">
        <v>32</v>
      </c>
      <c r="E215" t="s">
        <v>17</v>
      </c>
      <c r="F215">
        <v>2.96</v>
      </c>
      <c r="G215">
        <v>5</v>
      </c>
      <c r="H215">
        <v>93.8</v>
      </c>
      <c r="I215">
        <v>0.92</v>
      </c>
      <c r="J215" t="s">
        <v>23</v>
      </c>
      <c r="K215">
        <v>0</v>
      </c>
      <c r="L215">
        <v>52</v>
      </c>
      <c r="M215">
        <v>0.87</v>
      </c>
      <c r="N215">
        <v>13</v>
      </c>
      <c r="O215">
        <v>0.51</v>
      </c>
      <c r="P215" t="s">
        <v>24</v>
      </c>
    </row>
    <row r="216" spans="1:16" x14ac:dyDescent="0.35">
      <c r="A216" t="s">
        <v>242</v>
      </c>
      <c r="B216">
        <v>215</v>
      </c>
      <c r="C216">
        <v>20</v>
      </c>
      <c r="D216" t="s">
        <v>32</v>
      </c>
      <c r="E216" t="s">
        <v>22</v>
      </c>
      <c r="F216">
        <v>3.8</v>
      </c>
      <c r="G216">
        <v>5</v>
      </c>
      <c r="H216">
        <v>70.5</v>
      </c>
      <c r="I216">
        <v>0.8</v>
      </c>
      <c r="J216" t="s">
        <v>28</v>
      </c>
      <c r="K216">
        <v>24</v>
      </c>
      <c r="L216">
        <v>13</v>
      </c>
      <c r="M216">
        <v>0.64</v>
      </c>
      <c r="N216">
        <v>14</v>
      </c>
      <c r="O216">
        <v>0.93</v>
      </c>
      <c r="P216" t="s">
        <v>24</v>
      </c>
    </row>
    <row r="217" spans="1:16" x14ac:dyDescent="0.35">
      <c r="A217" t="s">
        <v>243</v>
      </c>
      <c r="B217">
        <v>216</v>
      </c>
      <c r="C217">
        <v>22</v>
      </c>
      <c r="D217" t="s">
        <v>21</v>
      </c>
      <c r="E217" t="s">
        <v>22</v>
      </c>
      <c r="F217">
        <v>3.35</v>
      </c>
      <c r="G217">
        <v>6</v>
      </c>
      <c r="H217">
        <v>76.900000000000006</v>
      </c>
      <c r="I217">
        <v>0.96</v>
      </c>
      <c r="J217" t="s">
        <v>23</v>
      </c>
      <c r="K217">
        <v>3</v>
      </c>
      <c r="L217">
        <v>14</v>
      </c>
      <c r="M217">
        <v>0.91</v>
      </c>
      <c r="N217">
        <v>13</v>
      </c>
      <c r="O217">
        <v>0.96</v>
      </c>
      <c r="P217" t="s">
        <v>41</v>
      </c>
    </row>
    <row r="218" spans="1:16" x14ac:dyDescent="0.35">
      <c r="A218" t="s">
        <v>244</v>
      </c>
      <c r="B218">
        <v>217</v>
      </c>
      <c r="C218">
        <v>21</v>
      </c>
      <c r="D218" t="s">
        <v>32</v>
      </c>
      <c r="E218" t="s">
        <v>46</v>
      </c>
      <c r="F218">
        <v>2.27</v>
      </c>
      <c r="G218">
        <v>4</v>
      </c>
      <c r="H218">
        <v>61.6</v>
      </c>
      <c r="I218">
        <v>0.71</v>
      </c>
      <c r="J218" t="s">
        <v>23</v>
      </c>
      <c r="K218">
        <v>35</v>
      </c>
      <c r="L218">
        <v>77</v>
      </c>
      <c r="M218">
        <v>0.56000000000000005</v>
      </c>
      <c r="N218">
        <v>10</v>
      </c>
      <c r="O218">
        <v>0.68</v>
      </c>
      <c r="P218" t="s">
        <v>19</v>
      </c>
    </row>
    <row r="219" spans="1:16" x14ac:dyDescent="0.35">
      <c r="A219" t="s">
        <v>245</v>
      </c>
      <c r="B219">
        <v>218</v>
      </c>
      <c r="C219">
        <v>22</v>
      </c>
      <c r="D219" t="s">
        <v>21</v>
      </c>
      <c r="E219" t="s">
        <v>46</v>
      </c>
      <c r="F219">
        <v>3.99</v>
      </c>
      <c r="G219">
        <v>4</v>
      </c>
      <c r="H219">
        <v>78</v>
      </c>
      <c r="I219">
        <v>0.76</v>
      </c>
      <c r="J219" t="s">
        <v>18</v>
      </c>
      <c r="K219">
        <v>9</v>
      </c>
      <c r="L219">
        <v>54</v>
      </c>
      <c r="M219">
        <v>0.88</v>
      </c>
      <c r="N219">
        <v>10</v>
      </c>
      <c r="O219">
        <v>0.86</v>
      </c>
      <c r="P219" t="s">
        <v>24</v>
      </c>
    </row>
    <row r="220" spans="1:16" x14ac:dyDescent="0.35">
      <c r="A220" t="s">
        <v>246</v>
      </c>
      <c r="B220">
        <v>219</v>
      </c>
      <c r="C220">
        <v>25</v>
      </c>
      <c r="D220" t="s">
        <v>16</v>
      </c>
      <c r="E220" t="s">
        <v>46</v>
      </c>
      <c r="F220">
        <v>3.05</v>
      </c>
      <c r="G220">
        <v>6</v>
      </c>
      <c r="H220">
        <v>83.1</v>
      </c>
      <c r="I220">
        <v>0.96</v>
      </c>
      <c r="J220" t="s">
        <v>23</v>
      </c>
      <c r="K220">
        <v>27</v>
      </c>
      <c r="L220">
        <v>89</v>
      </c>
      <c r="M220">
        <v>0.55000000000000004</v>
      </c>
      <c r="N220">
        <v>8</v>
      </c>
      <c r="O220">
        <v>0.72</v>
      </c>
      <c r="P220" t="s">
        <v>41</v>
      </c>
    </row>
    <row r="221" spans="1:16" x14ac:dyDescent="0.35">
      <c r="A221" t="s">
        <v>247</v>
      </c>
      <c r="B221">
        <v>220</v>
      </c>
      <c r="C221">
        <v>24</v>
      </c>
      <c r="D221" t="s">
        <v>32</v>
      </c>
      <c r="E221" t="s">
        <v>46</v>
      </c>
      <c r="F221">
        <v>2.78</v>
      </c>
      <c r="G221">
        <v>4</v>
      </c>
      <c r="H221">
        <v>82.8</v>
      </c>
      <c r="I221">
        <v>0.96</v>
      </c>
      <c r="J221" t="s">
        <v>18</v>
      </c>
      <c r="K221">
        <v>5</v>
      </c>
      <c r="L221">
        <v>34</v>
      </c>
      <c r="M221">
        <v>0.72</v>
      </c>
      <c r="N221">
        <v>5</v>
      </c>
      <c r="O221">
        <v>0.83</v>
      </c>
      <c r="P221" t="s">
        <v>24</v>
      </c>
    </row>
    <row r="222" spans="1:16" x14ac:dyDescent="0.35">
      <c r="A222" t="s">
        <v>248</v>
      </c>
      <c r="B222">
        <v>221</v>
      </c>
      <c r="C222">
        <v>20</v>
      </c>
      <c r="D222" t="s">
        <v>32</v>
      </c>
      <c r="E222" t="s">
        <v>46</v>
      </c>
      <c r="F222">
        <v>3.32</v>
      </c>
      <c r="G222">
        <v>3</v>
      </c>
      <c r="H222">
        <v>73.3</v>
      </c>
      <c r="I222">
        <v>0.87</v>
      </c>
      <c r="J222" t="s">
        <v>28</v>
      </c>
      <c r="K222">
        <v>26</v>
      </c>
      <c r="L222">
        <v>87</v>
      </c>
      <c r="M222">
        <v>0.87</v>
      </c>
      <c r="N222">
        <v>14</v>
      </c>
      <c r="O222">
        <v>0.67</v>
      </c>
      <c r="P222" t="s">
        <v>41</v>
      </c>
    </row>
    <row r="223" spans="1:16" x14ac:dyDescent="0.35">
      <c r="A223" t="s">
        <v>249</v>
      </c>
      <c r="B223">
        <v>222</v>
      </c>
      <c r="C223">
        <v>20</v>
      </c>
      <c r="D223" t="s">
        <v>21</v>
      </c>
      <c r="E223" t="s">
        <v>22</v>
      </c>
      <c r="F223">
        <v>2.2200000000000002</v>
      </c>
      <c r="G223">
        <v>4</v>
      </c>
      <c r="H223">
        <v>72.599999999999994</v>
      </c>
      <c r="I223">
        <v>0.94</v>
      </c>
      <c r="J223" t="s">
        <v>18</v>
      </c>
      <c r="K223">
        <v>11</v>
      </c>
      <c r="L223">
        <v>20</v>
      </c>
      <c r="M223">
        <v>0.59</v>
      </c>
      <c r="N223">
        <v>11</v>
      </c>
      <c r="O223">
        <v>0.66</v>
      </c>
      <c r="P223" t="s">
        <v>19</v>
      </c>
    </row>
    <row r="224" spans="1:16" x14ac:dyDescent="0.35">
      <c r="A224" t="s">
        <v>250</v>
      </c>
      <c r="B224">
        <v>223</v>
      </c>
      <c r="C224">
        <v>23</v>
      </c>
      <c r="D224" t="s">
        <v>32</v>
      </c>
      <c r="E224" t="s">
        <v>17</v>
      </c>
      <c r="F224">
        <v>3.27</v>
      </c>
      <c r="G224">
        <v>6</v>
      </c>
      <c r="H224">
        <v>64.3</v>
      </c>
      <c r="I224">
        <v>0.64</v>
      </c>
      <c r="J224" t="s">
        <v>23</v>
      </c>
      <c r="K224">
        <v>2</v>
      </c>
      <c r="L224">
        <v>38</v>
      </c>
      <c r="M224">
        <v>0.64</v>
      </c>
      <c r="N224">
        <v>5</v>
      </c>
      <c r="O224">
        <v>0.71</v>
      </c>
      <c r="P224" t="s">
        <v>19</v>
      </c>
    </row>
    <row r="225" spans="1:16" x14ac:dyDescent="0.35">
      <c r="A225" t="s">
        <v>251</v>
      </c>
      <c r="B225">
        <v>224</v>
      </c>
      <c r="C225">
        <v>21</v>
      </c>
      <c r="D225" t="s">
        <v>32</v>
      </c>
      <c r="E225" t="s">
        <v>46</v>
      </c>
      <c r="F225">
        <v>3</v>
      </c>
      <c r="G225">
        <v>3</v>
      </c>
      <c r="H225">
        <v>74.7</v>
      </c>
      <c r="I225">
        <v>0.95</v>
      </c>
      <c r="J225" t="s">
        <v>28</v>
      </c>
      <c r="K225">
        <v>32</v>
      </c>
      <c r="L225">
        <v>43</v>
      </c>
      <c r="M225">
        <v>0.93</v>
      </c>
      <c r="N225">
        <v>0</v>
      </c>
      <c r="O225">
        <v>0.56999999999999995</v>
      </c>
      <c r="P225" t="s">
        <v>41</v>
      </c>
    </row>
    <row r="226" spans="1:16" x14ac:dyDescent="0.35">
      <c r="A226" t="s">
        <v>252</v>
      </c>
      <c r="B226">
        <v>225</v>
      </c>
      <c r="C226">
        <v>19</v>
      </c>
      <c r="D226" t="s">
        <v>16</v>
      </c>
      <c r="E226" t="s">
        <v>46</v>
      </c>
      <c r="F226">
        <v>2.81</v>
      </c>
      <c r="G226">
        <v>5</v>
      </c>
      <c r="H226">
        <v>64</v>
      </c>
      <c r="I226">
        <v>0.73</v>
      </c>
      <c r="J226" t="s">
        <v>23</v>
      </c>
      <c r="K226">
        <v>9</v>
      </c>
      <c r="L226">
        <v>23</v>
      </c>
      <c r="M226">
        <v>0.94</v>
      </c>
      <c r="N226">
        <v>15</v>
      </c>
      <c r="O226">
        <v>0.92</v>
      </c>
      <c r="P226" t="s">
        <v>19</v>
      </c>
    </row>
    <row r="227" spans="1:16" x14ac:dyDescent="0.35">
      <c r="A227" t="s">
        <v>253</v>
      </c>
      <c r="B227">
        <v>226</v>
      </c>
      <c r="C227">
        <v>19</v>
      </c>
      <c r="D227" t="s">
        <v>32</v>
      </c>
      <c r="E227" t="s">
        <v>17</v>
      </c>
      <c r="F227">
        <v>3.91</v>
      </c>
      <c r="G227">
        <v>6</v>
      </c>
      <c r="H227">
        <v>90.7</v>
      </c>
      <c r="I227">
        <v>0.67</v>
      </c>
      <c r="J227" t="s">
        <v>18</v>
      </c>
      <c r="K227">
        <v>30</v>
      </c>
      <c r="L227">
        <v>33</v>
      </c>
      <c r="M227">
        <v>0.52</v>
      </c>
      <c r="N227">
        <v>19</v>
      </c>
      <c r="O227">
        <v>0.67</v>
      </c>
      <c r="P227" t="s">
        <v>19</v>
      </c>
    </row>
    <row r="228" spans="1:16" x14ac:dyDescent="0.35">
      <c r="A228" t="s">
        <v>254</v>
      </c>
      <c r="B228">
        <v>227</v>
      </c>
      <c r="C228">
        <v>22</v>
      </c>
      <c r="D228" t="s">
        <v>16</v>
      </c>
      <c r="E228" t="s">
        <v>46</v>
      </c>
      <c r="F228">
        <v>3.05</v>
      </c>
      <c r="G228">
        <v>6</v>
      </c>
      <c r="H228">
        <v>98.7</v>
      </c>
      <c r="I228">
        <v>0.7</v>
      </c>
      <c r="J228" t="s">
        <v>28</v>
      </c>
      <c r="K228">
        <v>14</v>
      </c>
      <c r="L228">
        <v>68</v>
      </c>
      <c r="M228">
        <v>0.57999999999999996</v>
      </c>
      <c r="N228">
        <v>14</v>
      </c>
      <c r="O228">
        <v>0.7</v>
      </c>
      <c r="P228" t="s">
        <v>19</v>
      </c>
    </row>
    <row r="229" spans="1:16" x14ac:dyDescent="0.35">
      <c r="A229" t="s">
        <v>255</v>
      </c>
      <c r="B229">
        <v>228</v>
      </c>
      <c r="C229">
        <v>23</v>
      </c>
      <c r="D229" t="s">
        <v>21</v>
      </c>
      <c r="E229" t="s">
        <v>17</v>
      </c>
      <c r="F229">
        <v>2.44</v>
      </c>
      <c r="G229">
        <v>5</v>
      </c>
      <c r="H229">
        <v>98.8</v>
      </c>
      <c r="I229">
        <v>0.77</v>
      </c>
      <c r="J229" t="s">
        <v>28</v>
      </c>
      <c r="K229">
        <v>6</v>
      </c>
      <c r="L229">
        <v>48</v>
      </c>
      <c r="M229">
        <v>0.56000000000000005</v>
      </c>
      <c r="N229">
        <v>1</v>
      </c>
      <c r="O229">
        <v>0.95</v>
      </c>
      <c r="P229" t="s">
        <v>19</v>
      </c>
    </row>
    <row r="230" spans="1:16" x14ac:dyDescent="0.35">
      <c r="A230" t="s">
        <v>256</v>
      </c>
      <c r="B230">
        <v>229</v>
      </c>
      <c r="C230">
        <v>18</v>
      </c>
      <c r="D230" t="s">
        <v>32</v>
      </c>
      <c r="E230" t="s">
        <v>17</v>
      </c>
      <c r="F230">
        <v>2.92</v>
      </c>
      <c r="G230">
        <v>6</v>
      </c>
      <c r="H230">
        <v>94.6</v>
      </c>
      <c r="I230">
        <v>0.7</v>
      </c>
      <c r="J230" t="s">
        <v>18</v>
      </c>
      <c r="K230">
        <v>35</v>
      </c>
      <c r="L230">
        <v>35</v>
      </c>
      <c r="M230">
        <v>0.59</v>
      </c>
      <c r="N230">
        <v>16</v>
      </c>
      <c r="O230">
        <v>0.75</v>
      </c>
      <c r="P230" t="s">
        <v>19</v>
      </c>
    </row>
    <row r="231" spans="1:16" x14ac:dyDescent="0.35">
      <c r="A231" t="s">
        <v>257</v>
      </c>
      <c r="B231">
        <v>230</v>
      </c>
      <c r="C231">
        <v>22</v>
      </c>
      <c r="D231" t="s">
        <v>16</v>
      </c>
      <c r="E231" t="s">
        <v>22</v>
      </c>
      <c r="F231">
        <v>3.84</v>
      </c>
      <c r="G231">
        <v>4</v>
      </c>
      <c r="H231">
        <v>84</v>
      </c>
      <c r="I231">
        <v>0.73</v>
      </c>
      <c r="J231" t="s">
        <v>18</v>
      </c>
      <c r="K231">
        <v>13</v>
      </c>
      <c r="L231">
        <v>52</v>
      </c>
      <c r="M231">
        <v>0.99</v>
      </c>
      <c r="N231">
        <v>2</v>
      </c>
      <c r="O231">
        <v>0.77</v>
      </c>
      <c r="P231" t="s">
        <v>19</v>
      </c>
    </row>
    <row r="232" spans="1:16" x14ac:dyDescent="0.35">
      <c r="A232" t="s">
        <v>258</v>
      </c>
      <c r="B232">
        <v>231</v>
      </c>
      <c r="C232">
        <v>23</v>
      </c>
      <c r="D232" t="s">
        <v>21</v>
      </c>
      <c r="E232" t="s">
        <v>30</v>
      </c>
      <c r="F232">
        <v>2.35</v>
      </c>
      <c r="G232">
        <v>5</v>
      </c>
      <c r="H232">
        <v>88</v>
      </c>
      <c r="I232">
        <v>0.65</v>
      </c>
      <c r="J232" t="s">
        <v>28</v>
      </c>
      <c r="K232">
        <v>13</v>
      </c>
      <c r="L232">
        <v>45</v>
      </c>
      <c r="M232">
        <v>0.78</v>
      </c>
      <c r="N232">
        <v>2</v>
      </c>
      <c r="O232">
        <v>0.98</v>
      </c>
      <c r="P232" t="s">
        <v>19</v>
      </c>
    </row>
    <row r="233" spans="1:16" x14ac:dyDescent="0.35">
      <c r="A233" t="s">
        <v>259</v>
      </c>
      <c r="B233">
        <v>232</v>
      </c>
      <c r="C233">
        <v>21</v>
      </c>
      <c r="D233" t="s">
        <v>32</v>
      </c>
      <c r="E233" t="s">
        <v>22</v>
      </c>
      <c r="F233">
        <v>2.4300000000000002</v>
      </c>
      <c r="G233">
        <v>6</v>
      </c>
      <c r="H233">
        <v>71.400000000000006</v>
      </c>
      <c r="I233">
        <v>0.72</v>
      </c>
      <c r="J233" t="s">
        <v>28</v>
      </c>
      <c r="K233">
        <v>2</v>
      </c>
      <c r="L233">
        <v>48</v>
      </c>
      <c r="M233">
        <v>0.73</v>
      </c>
      <c r="N233">
        <v>4</v>
      </c>
      <c r="O233">
        <v>0.94</v>
      </c>
      <c r="P233" t="s">
        <v>19</v>
      </c>
    </row>
    <row r="234" spans="1:16" x14ac:dyDescent="0.35">
      <c r="A234" t="s">
        <v>260</v>
      </c>
      <c r="B234">
        <v>233</v>
      </c>
      <c r="C234">
        <v>21</v>
      </c>
      <c r="D234" t="s">
        <v>21</v>
      </c>
      <c r="E234" t="s">
        <v>30</v>
      </c>
      <c r="F234">
        <v>2.0299999999999998</v>
      </c>
      <c r="G234">
        <v>5</v>
      </c>
      <c r="H234">
        <v>85.2</v>
      </c>
      <c r="I234">
        <v>0.83</v>
      </c>
      <c r="J234" t="s">
        <v>18</v>
      </c>
      <c r="K234">
        <v>2</v>
      </c>
      <c r="L234">
        <v>70</v>
      </c>
      <c r="M234">
        <v>0.99</v>
      </c>
      <c r="N234">
        <v>16</v>
      </c>
      <c r="O234">
        <v>0.57999999999999996</v>
      </c>
      <c r="P234" t="s">
        <v>19</v>
      </c>
    </row>
    <row r="235" spans="1:16" x14ac:dyDescent="0.35">
      <c r="A235" t="s">
        <v>261</v>
      </c>
      <c r="B235">
        <v>234</v>
      </c>
      <c r="C235">
        <v>21</v>
      </c>
      <c r="D235" t="s">
        <v>32</v>
      </c>
      <c r="E235" t="s">
        <v>30</v>
      </c>
      <c r="F235">
        <v>2.0299999999999998</v>
      </c>
      <c r="G235">
        <v>5</v>
      </c>
      <c r="H235">
        <v>78.2</v>
      </c>
      <c r="I235">
        <v>0.78</v>
      </c>
      <c r="J235" t="s">
        <v>23</v>
      </c>
      <c r="K235">
        <v>21</v>
      </c>
      <c r="L235">
        <v>25</v>
      </c>
      <c r="M235">
        <v>0.78</v>
      </c>
      <c r="N235">
        <v>16</v>
      </c>
      <c r="O235">
        <v>0.74</v>
      </c>
      <c r="P235" t="s">
        <v>19</v>
      </c>
    </row>
    <row r="236" spans="1:16" x14ac:dyDescent="0.35">
      <c r="A236" t="s">
        <v>262</v>
      </c>
      <c r="B236">
        <v>235</v>
      </c>
      <c r="C236">
        <v>21</v>
      </c>
      <c r="D236" t="s">
        <v>21</v>
      </c>
      <c r="E236" t="s">
        <v>30</v>
      </c>
      <c r="F236">
        <v>3.66</v>
      </c>
      <c r="G236">
        <v>5</v>
      </c>
      <c r="H236">
        <v>79.3</v>
      </c>
      <c r="I236">
        <v>0.74</v>
      </c>
      <c r="J236" t="s">
        <v>28</v>
      </c>
      <c r="K236">
        <v>18</v>
      </c>
      <c r="L236">
        <v>68</v>
      </c>
      <c r="M236">
        <v>0.83</v>
      </c>
      <c r="N236">
        <v>19</v>
      </c>
      <c r="O236">
        <v>0.99</v>
      </c>
      <c r="P236" t="s">
        <v>19</v>
      </c>
    </row>
    <row r="237" spans="1:16" x14ac:dyDescent="0.35">
      <c r="A237" t="s">
        <v>263</v>
      </c>
      <c r="B237">
        <v>236</v>
      </c>
      <c r="C237">
        <v>21</v>
      </c>
      <c r="D237" t="s">
        <v>21</v>
      </c>
      <c r="E237" t="s">
        <v>46</v>
      </c>
      <c r="F237">
        <v>3.46</v>
      </c>
      <c r="G237">
        <v>3</v>
      </c>
      <c r="H237">
        <v>90.3</v>
      </c>
      <c r="I237">
        <v>0.9</v>
      </c>
      <c r="J237" t="s">
        <v>18</v>
      </c>
      <c r="K237">
        <v>34</v>
      </c>
      <c r="L237">
        <v>15</v>
      </c>
      <c r="M237">
        <v>0.67</v>
      </c>
      <c r="N237">
        <v>5</v>
      </c>
      <c r="O237">
        <v>0.69</v>
      </c>
      <c r="P237" t="s">
        <v>41</v>
      </c>
    </row>
    <row r="238" spans="1:16" x14ac:dyDescent="0.35">
      <c r="A238" t="s">
        <v>264</v>
      </c>
      <c r="B238">
        <v>237</v>
      </c>
      <c r="C238">
        <v>23</v>
      </c>
      <c r="D238" t="s">
        <v>16</v>
      </c>
      <c r="E238" t="s">
        <v>22</v>
      </c>
      <c r="F238">
        <v>2.71</v>
      </c>
      <c r="G238">
        <v>6</v>
      </c>
      <c r="H238">
        <v>71.3</v>
      </c>
      <c r="I238">
        <v>0.96</v>
      </c>
      <c r="J238" t="s">
        <v>23</v>
      </c>
      <c r="K238">
        <v>11</v>
      </c>
      <c r="L238">
        <v>65</v>
      </c>
      <c r="M238">
        <v>0.69</v>
      </c>
      <c r="N238">
        <v>0</v>
      </c>
      <c r="O238">
        <v>0.69</v>
      </c>
      <c r="P238" t="s">
        <v>24</v>
      </c>
    </row>
    <row r="239" spans="1:16" x14ac:dyDescent="0.35">
      <c r="A239" t="s">
        <v>265</v>
      </c>
      <c r="B239">
        <v>238</v>
      </c>
      <c r="C239">
        <v>23</v>
      </c>
      <c r="D239" t="s">
        <v>21</v>
      </c>
      <c r="E239" t="s">
        <v>30</v>
      </c>
      <c r="F239">
        <v>3.4</v>
      </c>
      <c r="G239">
        <v>3</v>
      </c>
      <c r="H239">
        <v>72.7</v>
      </c>
      <c r="I239">
        <v>0.9</v>
      </c>
      <c r="J239" t="s">
        <v>28</v>
      </c>
      <c r="K239">
        <v>4</v>
      </c>
      <c r="L239">
        <v>17</v>
      </c>
      <c r="M239">
        <v>0.8</v>
      </c>
      <c r="N239">
        <v>6</v>
      </c>
      <c r="O239">
        <v>0.6</v>
      </c>
      <c r="P239" t="s">
        <v>41</v>
      </c>
    </row>
    <row r="240" spans="1:16" x14ac:dyDescent="0.35">
      <c r="A240" t="s">
        <v>266</v>
      </c>
      <c r="B240">
        <v>239</v>
      </c>
      <c r="C240">
        <v>20</v>
      </c>
      <c r="D240" t="s">
        <v>32</v>
      </c>
      <c r="E240" t="s">
        <v>17</v>
      </c>
      <c r="F240">
        <v>2.79</v>
      </c>
      <c r="G240">
        <v>6</v>
      </c>
      <c r="H240">
        <v>97</v>
      </c>
      <c r="I240">
        <v>0.73</v>
      </c>
      <c r="J240" t="s">
        <v>28</v>
      </c>
      <c r="K240">
        <v>9</v>
      </c>
      <c r="L240">
        <v>36</v>
      </c>
      <c r="M240">
        <v>0.53</v>
      </c>
      <c r="N240">
        <v>14</v>
      </c>
      <c r="O240">
        <v>0.56000000000000005</v>
      </c>
      <c r="P240" t="s">
        <v>19</v>
      </c>
    </row>
    <row r="241" spans="1:16" x14ac:dyDescent="0.35">
      <c r="A241" t="s">
        <v>267</v>
      </c>
      <c r="B241">
        <v>240</v>
      </c>
      <c r="C241">
        <v>25</v>
      </c>
      <c r="D241" t="s">
        <v>32</v>
      </c>
      <c r="E241" t="s">
        <v>46</v>
      </c>
      <c r="F241">
        <v>3.91</v>
      </c>
      <c r="G241">
        <v>4</v>
      </c>
      <c r="H241">
        <v>62.2</v>
      </c>
      <c r="I241">
        <v>0.9</v>
      </c>
      <c r="J241" t="s">
        <v>18</v>
      </c>
      <c r="K241">
        <v>32</v>
      </c>
      <c r="L241">
        <v>80</v>
      </c>
      <c r="M241">
        <v>0.63</v>
      </c>
      <c r="N241">
        <v>6</v>
      </c>
      <c r="O241">
        <v>0.87</v>
      </c>
      <c r="P241" t="s">
        <v>41</v>
      </c>
    </row>
    <row r="242" spans="1:16" x14ac:dyDescent="0.35">
      <c r="A242" t="s">
        <v>268</v>
      </c>
      <c r="B242">
        <v>241</v>
      </c>
      <c r="C242">
        <v>19</v>
      </c>
      <c r="D242" t="s">
        <v>16</v>
      </c>
      <c r="E242" t="s">
        <v>22</v>
      </c>
      <c r="F242">
        <v>3.93</v>
      </c>
      <c r="G242">
        <v>4</v>
      </c>
      <c r="H242">
        <v>79.400000000000006</v>
      </c>
      <c r="I242">
        <v>0.66</v>
      </c>
      <c r="J242" t="s">
        <v>23</v>
      </c>
      <c r="K242">
        <v>12</v>
      </c>
      <c r="L242">
        <v>36</v>
      </c>
      <c r="M242">
        <v>0.6</v>
      </c>
      <c r="N242">
        <v>18</v>
      </c>
      <c r="O242">
        <v>0.89</v>
      </c>
      <c r="P242" t="s">
        <v>19</v>
      </c>
    </row>
    <row r="243" spans="1:16" x14ac:dyDescent="0.35">
      <c r="A243" t="s">
        <v>269</v>
      </c>
      <c r="B243">
        <v>242</v>
      </c>
      <c r="C243">
        <v>24</v>
      </c>
      <c r="D243" t="s">
        <v>32</v>
      </c>
      <c r="E243" t="s">
        <v>30</v>
      </c>
      <c r="F243">
        <v>2.79</v>
      </c>
      <c r="G243">
        <v>4</v>
      </c>
      <c r="H243">
        <v>96.5</v>
      </c>
      <c r="I243">
        <v>0.65</v>
      </c>
      <c r="J243" t="s">
        <v>28</v>
      </c>
      <c r="K243">
        <v>34</v>
      </c>
      <c r="L243">
        <v>55</v>
      </c>
      <c r="M243">
        <v>0.51</v>
      </c>
      <c r="N243">
        <v>19</v>
      </c>
      <c r="O243">
        <v>0.98</v>
      </c>
      <c r="P243" t="s">
        <v>19</v>
      </c>
    </row>
    <row r="244" spans="1:16" x14ac:dyDescent="0.35">
      <c r="A244" t="s">
        <v>270</v>
      </c>
      <c r="B244">
        <v>243</v>
      </c>
      <c r="C244">
        <v>21</v>
      </c>
      <c r="D244" t="s">
        <v>32</v>
      </c>
      <c r="E244" t="s">
        <v>17</v>
      </c>
      <c r="F244">
        <v>3.71</v>
      </c>
      <c r="G244">
        <v>6</v>
      </c>
      <c r="H244">
        <v>84.4</v>
      </c>
      <c r="I244">
        <v>0.74</v>
      </c>
      <c r="J244" t="s">
        <v>23</v>
      </c>
      <c r="K244">
        <v>31</v>
      </c>
      <c r="L244">
        <v>50</v>
      </c>
      <c r="M244">
        <v>0.77</v>
      </c>
      <c r="N244">
        <v>10</v>
      </c>
      <c r="O244">
        <v>0.89</v>
      </c>
      <c r="P244" t="s">
        <v>19</v>
      </c>
    </row>
    <row r="245" spans="1:16" x14ac:dyDescent="0.35">
      <c r="A245" t="s">
        <v>271</v>
      </c>
      <c r="B245">
        <v>244</v>
      </c>
      <c r="C245">
        <v>18</v>
      </c>
      <c r="D245" t="s">
        <v>32</v>
      </c>
      <c r="E245" t="s">
        <v>22</v>
      </c>
      <c r="F245">
        <v>3.55</v>
      </c>
      <c r="G245">
        <v>5</v>
      </c>
      <c r="H245">
        <v>81.900000000000006</v>
      </c>
      <c r="I245">
        <v>0.92</v>
      </c>
      <c r="J245" t="s">
        <v>23</v>
      </c>
      <c r="K245">
        <v>10</v>
      </c>
      <c r="L245">
        <v>88</v>
      </c>
      <c r="M245">
        <v>0.78</v>
      </c>
      <c r="N245">
        <v>13</v>
      </c>
      <c r="O245">
        <v>0.62</v>
      </c>
      <c r="P245" t="s">
        <v>41</v>
      </c>
    </row>
    <row r="246" spans="1:16" x14ac:dyDescent="0.35">
      <c r="A246" t="s">
        <v>272</v>
      </c>
      <c r="B246">
        <v>245</v>
      </c>
      <c r="C246">
        <v>24</v>
      </c>
      <c r="D246" t="s">
        <v>21</v>
      </c>
      <c r="E246" t="s">
        <v>22</v>
      </c>
      <c r="F246">
        <v>2.62</v>
      </c>
      <c r="G246">
        <v>5</v>
      </c>
      <c r="H246">
        <v>70</v>
      </c>
      <c r="I246">
        <v>0.7</v>
      </c>
      <c r="J246" t="s">
        <v>28</v>
      </c>
      <c r="K246">
        <v>37</v>
      </c>
      <c r="L246">
        <v>34</v>
      </c>
      <c r="M246">
        <v>0.69</v>
      </c>
      <c r="N246">
        <v>12</v>
      </c>
      <c r="O246">
        <v>0.52</v>
      </c>
      <c r="P246" t="s">
        <v>19</v>
      </c>
    </row>
    <row r="247" spans="1:16" x14ac:dyDescent="0.35">
      <c r="A247" t="s">
        <v>273</v>
      </c>
      <c r="B247">
        <v>246</v>
      </c>
      <c r="C247">
        <v>23</v>
      </c>
      <c r="D247" t="s">
        <v>21</v>
      </c>
      <c r="E247" t="s">
        <v>46</v>
      </c>
      <c r="F247">
        <v>2.46</v>
      </c>
      <c r="G247">
        <v>3</v>
      </c>
      <c r="H247">
        <v>73.7</v>
      </c>
      <c r="I247">
        <v>0.63</v>
      </c>
      <c r="J247" t="s">
        <v>23</v>
      </c>
      <c r="K247">
        <v>23</v>
      </c>
      <c r="L247">
        <v>27</v>
      </c>
      <c r="M247">
        <v>0.63</v>
      </c>
      <c r="N247">
        <v>19</v>
      </c>
      <c r="O247">
        <v>0.99</v>
      </c>
      <c r="P247" t="s">
        <v>19</v>
      </c>
    </row>
    <row r="248" spans="1:16" x14ac:dyDescent="0.35">
      <c r="A248" t="s">
        <v>274</v>
      </c>
      <c r="B248">
        <v>247</v>
      </c>
      <c r="C248">
        <v>18</v>
      </c>
      <c r="D248" t="s">
        <v>32</v>
      </c>
      <c r="E248" t="s">
        <v>22</v>
      </c>
      <c r="F248">
        <v>2.92</v>
      </c>
      <c r="G248">
        <v>3</v>
      </c>
      <c r="H248">
        <v>94.1</v>
      </c>
      <c r="I248">
        <v>0.65</v>
      </c>
      <c r="J248" t="s">
        <v>28</v>
      </c>
      <c r="K248">
        <v>34</v>
      </c>
      <c r="L248">
        <v>21</v>
      </c>
      <c r="M248">
        <v>0.83</v>
      </c>
      <c r="N248">
        <v>8</v>
      </c>
      <c r="O248">
        <v>0.67</v>
      </c>
      <c r="P248" t="s">
        <v>19</v>
      </c>
    </row>
    <row r="249" spans="1:16" x14ac:dyDescent="0.35">
      <c r="A249" t="s">
        <v>275</v>
      </c>
      <c r="B249">
        <v>248</v>
      </c>
      <c r="C249">
        <v>18</v>
      </c>
      <c r="D249" t="s">
        <v>16</v>
      </c>
      <c r="E249" t="s">
        <v>46</v>
      </c>
      <c r="F249">
        <v>3.56</v>
      </c>
      <c r="G249">
        <v>4</v>
      </c>
      <c r="H249">
        <v>82.4</v>
      </c>
      <c r="I249">
        <v>0.94</v>
      </c>
      <c r="J249" t="s">
        <v>23</v>
      </c>
      <c r="K249">
        <v>18</v>
      </c>
      <c r="L249">
        <v>60</v>
      </c>
      <c r="M249">
        <v>0.56999999999999995</v>
      </c>
      <c r="N249">
        <v>8</v>
      </c>
      <c r="O249">
        <v>0.66</v>
      </c>
      <c r="P249" t="s">
        <v>41</v>
      </c>
    </row>
    <row r="250" spans="1:16" x14ac:dyDescent="0.35">
      <c r="A250" t="s">
        <v>276</v>
      </c>
      <c r="B250">
        <v>249</v>
      </c>
      <c r="C250">
        <v>18</v>
      </c>
      <c r="D250" t="s">
        <v>21</v>
      </c>
      <c r="E250" t="s">
        <v>30</v>
      </c>
      <c r="F250">
        <v>3.92</v>
      </c>
      <c r="G250">
        <v>3</v>
      </c>
      <c r="H250">
        <v>80.599999999999994</v>
      </c>
      <c r="I250">
        <v>0.85</v>
      </c>
      <c r="J250" t="s">
        <v>28</v>
      </c>
      <c r="K250">
        <v>5</v>
      </c>
      <c r="L250">
        <v>48</v>
      </c>
      <c r="M250">
        <v>0.76</v>
      </c>
      <c r="N250">
        <v>15</v>
      </c>
      <c r="O250">
        <v>0.95</v>
      </c>
      <c r="P250" t="s">
        <v>41</v>
      </c>
    </row>
    <row r="251" spans="1:16" x14ac:dyDescent="0.35">
      <c r="A251" t="s">
        <v>277</v>
      </c>
      <c r="B251">
        <v>250</v>
      </c>
      <c r="C251">
        <v>20</v>
      </c>
      <c r="D251" t="s">
        <v>16</v>
      </c>
      <c r="E251" t="s">
        <v>46</v>
      </c>
      <c r="F251">
        <v>3.53</v>
      </c>
      <c r="G251">
        <v>6</v>
      </c>
      <c r="H251">
        <v>64</v>
      </c>
      <c r="I251">
        <v>0.7</v>
      </c>
      <c r="J251" t="s">
        <v>18</v>
      </c>
      <c r="K251">
        <v>39</v>
      </c>
      <c r="L251">
        <v>19</v>
      </c>
      <c r="M251">
        <v>0.88</v>
      </c>
      <c r="N251">
        <v>11</v>
      </c>
      <c r="O251">
        <v>0.79</v>
      </c>
      <c r="P251" t="s">
        <v>19</v>
      </c>
    </row>
    <row r="252" spans="1:16" x14ac:dyDescent="0.35">
      <c r="A252" t="s">
        <v>278</v>
      </c>
      <c r="B252">
        <v>251</v>
      </c>
      <c r="C252">
        <v>23</v>
      </c>
      <c r="D252" t="s">
        <v>32</v>
      </c>
      <c r="E252" t="s">
        <v>17</v>
      </c>
      <c r="F252">
        <v>3.71</v>
      </c>
      <c r="G252">
        <v>6</v>
      </c>
      <c r="H252">
        <v>60.6</v>
      </c>
      <c r="I252">
        <v>0.82</v>
      </c>
      <c r="J252" t="s">
        <v>28</v>
      </c>
      <c r="K252">
        <v>34</v>
      </c>
      <c r="L252">
        <v>83</v>
      </c>
      <c r="M252">
        <v>0.57999999999999996</v>
      </c>
      <c r="N252">
        <v>9</v>
      </c>
      <c r="O252">
        <v>0.61</v>
      </c>
      <c r="P252" t="s">
        <v>24</v>
      </c>
    </row>
    <row r="253" spans="1:16" x14ac:dyDescent="0.35">
      <c r="A253" t="s">
        <v>279</v>
      </c>
      <c r="B253">
        <v>252</v>
      </c>
      <c r="C253">
        <v>18</v>
      </c>
      <c r="D253" t="s">
        <v>32</v>
      </c>
      <c r="E253" t="s">
        <v>46</v>
      </c>
      <c r="F253">
        <v>3.21</v>
      </c>
      <c r="G253">
        <v>3</v>
      </c>
      <c r="H253">
        <v>98.5</v>
      </c>
      <c r="I253">
        <v>0.81</v>
      </c>
      <c r="J253" t="s">
        <v>28</v>
      </c>
      <c r="K253">
        <v>3</v>
      </c>
      <c r="L253">
        <v>86</v>
      </c>
      <c r="M253">
        <v>0.88</v>
      </c>
      <c r="N253">
        <v>5</v>
      </c>
      <c r="O253">
        <v>0.94</v>
      </c>
      <c r="P253" t="s">
        <v>24</v>
      </c>
    </row>
    <row r="254" spans="1:16" x14ac:dyDescent="0.35">
      <c r="A254" t="s">
        <v>280</v>
      </c>
      <c r="B254">
        <v>253</v>
      </c>
      <c r="C254">
        <v>21</v>
      </c>
      <c r="D254" t="s">
        <v>21</v>
      </c>
      <c r="E254" t="s">
        <v>17</v>
      </c>
      <c r="F254">
        <v>3.67</v>
      </c>
      <c r="G254">
        <v>3</v>
      </c>
      <c r="H254">
        <v>75.099999999999994</v>
      </c>
      <c r="I254">
        <v>0.86</v>
      </c>
      <c r="J254" t="s">
        <v>28</v>
      </c>
      <c r="K254">
        <v>32</v>
      </c>
      <c r="L254">
        <v>63</v>
      </c>
      <c r="M254">
        <v>0.88</v>
      </c>
      <c r="N254">
        <v>17</v>
      </c>
      <c r="O254">
        <v>1</v>
      </c>
      <c r="P254" t="s">
        <v>41</v>
      </c>
    </row>
    <row r="255" spans="1:16" x14ac:dyDescent="0.35">
      <c r="A255" t="s">
        <v>281</v>
      </c>
      <c r="B255">
        <v>254</v>
      </c>
      <c r="C255">
        <v>22</v>
      </c>
      <c r="D255" t="s">
        <v>32</v>
      </c>
      <c r="E255" t="s">
        <v>46</v>
      </c>
      <c r="F255">
        <v>3.57</v>
      </c>
      <c r="G255">
        <v>3</v>
      </c>
      <c r="H255">
        <v>84.1</v>
      </c>
      <c r="I255">
        <v>0.69</v>
      </c>
      <c r="J255" t="s">
        <v>23</v>
      </c>
      <c r="K255">
        <v>12</v>
      </c>
      <c r="L255">
        <v>38</v>
      </c>
      <c r="M255">
        <v>0.53</v>
      </c>
      <c r="N255">
        <v>1</v>
      </c>
      <c r="O255">
        <v>0.54</v>
      </c>
      <c r="P255" t="s">
        <v>19</v>
      </c>
    </row>
    <row r="256" spans="1:16" x14ac:dyDescent="0.35">
      <c r="A256" t="s">
        <v>282</v>
      </c>
      <c r="B256">
        <v>255</v>
      </c>
      <c r="C256">
        <v>18</v>
      </c>
      <c r="D256" t="s">
        <v>21</v>
      </c>
      <c r="E256" t="s">
        <v>22</v>
      </c>
      <c r="F256">
        <v>2.75</v>
      </c>
      <c r="G256">
        <v>3</v>
      </c>
      <c r="H256">
        <v>63.2</v>
      </c>
      <c r="I256">
        <v>0.95</v>
      </c>
      <c r="J256" t="s">
        <v>18</v>
      </c>
      <c r="K256">
        <v>35</v>
      </c>
      <c r="L256">
        <v>50</v>
      </c>
      <c r="M256">
        <v>0.51</v>
      </c>
      <c r="N256">
        <v>19</v>
      </c>
      <c r="O256">
        <v>0.93</v>
      </c>
      <c r="P256" t="s">
        <v>24</v>
      </c>
    </row>
    <row r="257" spans="1:16" x14ac:dyDescent="0.35">
      <c r="A257" t="s">
        <v>283</v>
      </c>
      <c r="B257">
        <v>256</v>
      </c>
      <c r="C257">
        <v>20</v>
      </c>
      <c r="D257" t="s">
        <v>32</v>
      </c>
      <c r="E257" t="s">
        <v>30</v>
      </c>
      <c r="F257">
        <v>3.1</v>
      </c>
      <c r="G257">
        <v>4</v>
      </c>
      <c r="H257">
        <v>87.3</v>
      </c>
      <c r="I257">
        <v>0.72</v>
      </c>
      <c r="J257" t="s">
        <v>23</v>
      </c>
      <c r="K257">
        <v>18</v>
      </c>
      <c r="L257">
        <v>18</v>
      </c>
      <c r="M257">
        <v>0.99</v>
      </c>
      <c r="N257">
        <v>8</v>
      </c>
      <c r="O257">
        <v>0.7</v>
      </c>
      <c r="P257" t="s">
        <v>19</v>
      </c>
    </row>
    <row r="258" spans="1:16" x14ac:dyDescent="0.35">
      <c r="A258" t="s">
        <v>284</v>
      </c>
      <c r="B258">
        <v>257</v>
      </c>
      <c r="C258">
        <v>24</v>
      </c>
      <c r="D258" t="s">
        <v>32</v>
      </c>
      <c r="E258" t="s">
        <v>17</v>
      </c>
      <c r="F258">
        <v>3.61</v>
      </c>
      <c r="G258">
        <v>4</v>
      </c>
      <c r="H258">
        <v>97.3</v>
      </c>
      <c r="I258">
        <v>0.88</v>
      </c>
      <c r="J258" t="s">
        <v>23</v>
      </c>
      <c r="K258">
        <v>11</v>
      </c>
      <c r="L258">
        <v>72</v>
      </c>
      <c r="M258">
        <v>0.6</v>
      </c>
      <c r="N258">
        <v>18</v>
      </c>
      <c r="O258">
        <v>0.76</v>
      </c>
      <c r="P258" t="s">
        <v>41</v>
      </c>
    </row>
    <row r="259" spans="1:16" x14ac:dyDescent="0.35">
      <c r="A259" t="s">
        <v>285</v>
      </c>
      <c r="B259">
        <v>258</v>
      </c>
      <c r="C259">
        <v>23</v>
      </c>
      <c r="D259" t="s">
        <v>21</v>
      </c>
      <c r="E259" t="s">
        <v>46</v>
      </c>
      <c r="F259">
        <v>2.09</v>
      </c>
      <c r="G259">
        <v>3</v>
      </c>
      <c r="H259">
        <v>83</v>
      </c>
      <c r="I259">
        <v>0.61</v>
      </c>
      <c r="J259" t="s">
        <v>28</v>
      </c>
      <c r="K259">
        <v>10</v>
      </c>
      <c r="L259">
        <v>86</v>
      </c>
      <c r="M259">
        <v>0.91</v>
      </c>
      <c r="N259">
        <v>5</v>
      </c>
      <c r="O259">
        <v>0.96</v>
      </c>
      <c r="P259" t="s">
        <v>19</v>
      </c>
    </row>
    <row r="260" spans="1:16" x14ac:dyDescent="0.35">
      <c r="A260" t="s">
        <v>286</v>
      </c>
      <c r="B260">
        <v>259</v>
      </c>
      <c r="C260">
        <v>25</v>
      </c>
      <c r="D260" t="s">
        <v>21</v>
      </c>
      <c r="E260" t="s">
        <v>46</v>
      </c>
      <c r="F260">
        <v>3.62</v>
      </c>
      <c r="G260">
        <v>6</v>
      </c>
      <c r="H260">
        <v>65</v>
      </c>
      <c r="I260">
        <v>0.75</v>
      </c>
      <c r="J260" t="s">
        <v>23</v>
      </c>
      <c r="K260">
        <v>5</v>
      </c>
      <c r="L260">
        <v>46</v>
      </c>
      <c r="M260">
        <v>0.78</v>
      </c>
      <c r="N260">
        <v>1</v>
      </c>
      <c r="O260">
        <v>0.99</v>
      </c>
      <c r="P260" t="s">
        <v>24</v>
      </c>
    </row>
    <row r="261" spans="1:16" x14ac:dyDescent="0.35">
      <c r="A261" t="s">
        <v>287</v>
      </c>
      <c r="B261">
        <v>260</v>
      </c>
      <c r="C261">
        <v>20</v>
      </c>
      <c r="D261" t="s">
        <v>21</v>
      </c>
      <c r="E261" t="s">
        <v>46</v>
      </c>
      <c r="F261">
        <v>2.36</v>
      </c>
      <c r="G261">
        <v>4</v>
      </c>
      <c r="H261">
        <v>83.3</v>
      </c>
      <c r="I261">
        <v>0.74</v>
      </c>
      <c r="J261" t="s">
        <v>28</v>
      </c>
      <c r="K261">
        <v>11</v>
      </c>
      <c r="L261">
        <v>23</v>
      </c>
      <c r="M261">
        <v>0.63</v>
      </c>
      <c r="N261">
        <v>14</v>
      </c>
      <c r="O261">
        <v>0.63</v>
      </c>
      <c r="P261" t="s">
        <v>19</v>
      </c>
    </row>
    <row r="262" spans="1:16" x14ac:dyDescent="0.35">
      <c r="A262" t="s">
        <v>288</v>
      </c>
      <c r="B262">
        <v>261</v>
      </c>
      <c r="C262">
        <v>18</v>
      </c>
      <c r="D262" t="s">
        <v>32</v>
      </c>
      <c r="E262" t="s">
        <v>22</v>
      </c>
      <c r="F262">
        <v>3.03</v>
      </c>
      <c r="G262">
        <v>6</v>
      </c>
      <c r="H262">
        <v>90.7</v>
      </c>
      <c r="I262">
        <v>0.82</v>
      </c>
      <c r="J262" t="s">
        <v>18</v>
      </c>
      <c r="K262">
        <v>26</v>
      </c>
      <c r="L262">
        <v>82</v>
      </c>
      <c r="M262">
        <v>0.56000000000000005</v>
      </c>
      <c r="N262">
        <v>16</v>
      </c>
      <c r="O262">
        <v>0.61</v>
      </c>
      <c r="P262" t="s">
        <v>24</v>
      </c>
    </row>
    <row r="263" spans="1:16" x14ac:dyDescent="0.35">
      <c r="A263" t="s">
        <v>289</v>
      </c>
      <c r="B263">
        <v>262</v>
      </c>
      <c r="C263">
        <v>23</v>
      </c>
      <c r="D263" t="s">
        <v>32</v>
      </c>
      <c r="E263" t="s">
        <v>22</v>
      </c>
      <c r="F263">
        <v>3.62</v>
      </c>
      <c r="G263">
        <v>5</v>
      </c>
      <c r="H263">
        <v>76.3</v>
      </c>
      <c r="I263">
        <v>0.63</v>
      </c>
      <c r="J263" t="s">
        <v>23</v>
      </c>
      <c r="K263">
        <v>24</v>
      </c>
      <c r="L263">
        <v>81</v>
      </c>
      <c r="M263">
        <v>0.75</v>
      </c>
      <c r="N263">
        <v>15</v>
      </c>
      <c r="O263">
        <v>0.54</v>
      </c>
      <c r="P263" t="s">
        <v>19</v>
      </c>
    </row>
    <row r="264" spans="1:16" x14ac:dyDescent="0.35">
      <c r="A264" t="s">
        <v>290</v>
      </c>
      <c r="B264">
        <v>263</v>
      </c>
      <c r="C264">
        <v>22</v>
      </c>
      <c r="D264" t="s">
        <v>16</v>
      </c>
      <c r="E264" t="s">
        <v>17</v>
      </c>
      <c r="F264">
        <v>2.5099999999999998</v>
      </c>
      <c r="G264">
        <v>6</v>
      </c>
      <c r="H264">
        <v>95.2</v>
      </c>
      <c r="I264">
        <v>0.92</v>
      </c>
      <c r="J264" t="s">
        <v>23</v>
      </c>
      <c r="K264">
        <v>2</v>
      </c>
      <c r="L264">
        <v>48</v>
      </c>
      <c r="M264">
        <v>0.7</v>
      </c>
      <c r="N264">
        <v>7</v>
      </c>
      <c r="O264">
        <v>0.78</v>
      </c>
      <c r="P264" t="s">
        <v>24</v>
      </c>
    </row>
    <row r="265" spans="1:16" x14ac:dyDescent="0.35">
      <c r="A265" t="s">
        <v>291</v>
      </c>
      <c r="B265">
        <v>264</v>
      </c>
      <c r="C265">
        <v>18</v>
      </c>
      <c r="D265" t="s">
        <v>21</v>
      </c>
      <c r="E265" t="s">
        <v>17</v>
      </c>
      <c r="F265">
        <v>2.4900000000000002</v>
      </c>
      <c r="G265">
        <v>3</v>
      </c>
      <c r="H265">
        <v>85.9</v>
      </c>
      <c r="I265">
        <v>0.69</v>
      </c>
      <c r="J265" t="s">
        <v>23</v>
      </c>
      <c r="K265">
        <v>2</v>
      </c>
      <c r="L265">
        <v>49</v>
      </c>
      <c r="M265">
        <v>0.85</v>
      </c>
      <c r="N265">
        <v>9</v>
      </c>
      <c r="O265">
        <v>0.51</v>
      </c>
      <c r="P265" t="s">
        <v>19</v>
      </c>
    </row>
    <row r="266" spans="1:16" x14ac:dyDescent="0.35">
      <c r="A266" t="s">
        <v>292</v>
      </c>
      <c r="B266">
        <v>265</v>
      </c>
      <c r="C266">
        <v>20</v>
      </c>
      <c r="D266" t="s">
        <v>32</v>
      </c>
      <c r="E266" t="s">
        <v>22</v>
      </c>
      <c r="F266">
        <v>2.81</v>
      </c>
      <c r="G266">
        <v>5</v>
      </c>
      <c r="H266">
        <v>96</v>
      </c>
      <c r="I266">
        <v>0.87</v>
      </c>
      <c r="J266" t="s">
        <v>28</v>
      </c>
      <c r="K266">
        <v>19</v>
      </c>
      <c r="L266">
        <v>63</v>
      </c>
      <c r="M266">
        <v>0.95</v>
      </c>
      <c r="N266">
        <v>9</v>
      </c>
      <c r="O266">
        <v>0.71</v>
      </c>
      <c r="P266" t="s">
        <v>24</v>
      </c>
    </row>
    <row r="267" spans="1:16" x14ac:dyDescent="0.35">
      <c r="A267" t="s">
        <v>293</v>
      </c>
      <c r="B267">
        <v>266</v>
      </c>
      <c r="C267">
        <v>19</v>
      </c>
      <c r="D267" t="s">
        <v>32</v>
      </c>
      <c r="E267" t="s">
        <v>17</v>
      </c>
      <c r="F267">
        <v>3.79</v>
      </c>
      <c r="G267">
        <v>4</v>
      </c>
      <c r="H267">
        <v>84.9</v>
      </c>
      <c r="I267">
        <v>0.92</v>
      </c>
      <c r="J267" t="s">
        <v>28</v>
      </c>
      <c r="K267">
        <v>27</v>
      </c>
      <c r="L267">
        <v>12</v>
      </c>
      <c r="M267">
        <v>0.9</v>
      </c>
      <c r="N267">
        <v>17</v>
      </c>
      <c r="O267">
        <v>0.54</v>
      </c>
      <c r="P267" t="s">
        <v>41</v>
      </c>
    </row>
    <row r="268" spans="1:16" x14ac:dyDescent="0.35">
      <c r="A268" t="s">
        <v>294</v>
      </c>
      <c r="B268">
        <v>267</v>
      </c>
      <c r="C268">
        <v>21</v>
      </c>
      <c r="D268" t="s">
        <v>21</v>
      </c>
      <c r="E268" t="s">
        <v>30</v>
      </c>
      <c r="F268">
        <v>2</v>
      </c>
      <c r="G268">
        <v>4</v>
      </c>
      <c r="H268">
        <v>65.3</v>
      </c>
      <c r="I268">
        <v>0.82</v>
      </c>
      <c r="J268" t="s">
        <v>23</v>
      </c>
      <c r="K268">
        <v>22</v>
      </c>
      <c r="L268">
        <v>64</v>
      </c>
      <c r="M268">
        <v>0.64</v>
      </c>
      <c r="N268">
        <v>9</v>
      </c>
      <c r="O268">
        <v>0.7</v>
      </c>
      <c r="P268" t="s">
        <v>19</v>
      </c>
    </row>
    <row r="269" spans="1:16" x14ac:dyDescent="0.35">
      <c r="A269" t="s">
        <v>295</v>
      </c>
      <c r="B269">
        <v>268</v>
      </c>
      <c r="C269">
        <v>25</v>
      </c>
      <c r="D269" t="s">
        <v>16</v>
      </c>
      <c r="E269" t="s">
        <v>30</v>
      </c>
      <c r="F269">
        <v>3.8</v>
      </c>
      <c r="G269">
        <v>5</v>
      </c>
      <c r="H269">
        <v>72.400000000000006</v>
      </c>
      <c r="I269">
        <v>0.9</v>
      </c>
      <c r="J269" t="s">
        <v>23</v>
      </c>
      <c r="K269">
        <v>2</v>
      </c>
      <c r="L269">
        <v>42</v>
      </c>
      <c r="M269">
        <v>0.94</v>
      </c>
      <c r="N269">
        <v>8</v>
      </c>
      <c r="O269">
        <v>0.52</v>
      </c>
      <c r="P269" t="s">
        <v>41</v>
      </c>
    </row>
    <row r="270" spans="1:16" x14ac:dyDescent="0.35">
      <c r="A270" t="s">
        <v>296</v>
      </c>
      <c r="B270">
        <v>269</v>
      </c>
      <c r="C270">
        <v>24</v>
      </c>
      <c r="D270" t="s">
        <v>21</v>
      </c>
      <c r="E270" t="s">
        <v>22</v>
      </c>
      <c r="F270">
        <v>2.31</v>
      </c>
      <c r="G270">
        <v>6</v>
      </c>
      <c r="H270">
        <v>68.099999999999994</v>
      </c>
      <c r="I270">
        <v>0.86</v>
      </c>
      <c r="J270" t="s">
        <v>18</v>
      </c>
      <c r="K270">
        <v>23</v>
      </c>
      <c r="L270">
        <v>80</v>
      </c>
      <c r="M270">
        <v>0.92</v>
      </c>
      <c r="N270">
        <v>18</v>
      </c>
      <c r="O270">
        <v>0.92</v>
      </c>
      <c r="P270" t="s">
        <v>19</v>
      </c>
    </row>
    <row r="271" spans="1:16" x14ac:dyDescent="0.35">
      <c r="A271" t="s">
        <v>297</v>
      </c>
      <c r="B271">
        <v>270</v>
      </c>
      <c r="C271">
        <v>20</v>
      </c>
      <c r="D271" t="s">
        <v>16</v>
      </c>
      <c r="E271" t="s">
        <v>17</v>
      </c>
      <c r="F271">
        <v>3.98</v>
      </c>
      <c r="G271">
        <v>4</v>
      </c>
      <c r="H271">
        <v>96.4</v>
      </c>
      <c r="I271">
        <v>0.74</v>
      </c>
      <c r="J271" t="s">
        <v>18</v>
      </c>
      <c r="K271">
        <v>39</v>
      </c>
      <c r="L271">
        <v>28</v>
      </c>
      <c r="M271">
        <v>0.96</v>
      </c>
      <c r="N271">
        <v>0</v>
      </c>
      <c r="O271">
        <v>0.6</v>
      </c>
      <c r="P271" t="s">
        <v>19</v>
      </c>
    </row>
    <row r="272" spans="1:16" x14ac:dyDescent="0.35">
      <c r="A272" t="s">
        <v>298</v>
      </c>
      <c r="B272">
        <v>271</v>
      </c>
      <c r="C272">
        <v>23</v>
      </c>
      <c r="D272" t="s">
        <v>32</v>
      </c>
      <c r="E272" t="s">
        <v>46</v>
      </c>
      <c r="F272">
        <v>3.91</v>
      </c>
      <c r="G272">
        <v>3</v>
      </c>
      <c r="H272">
        <v>90.4</v>
      </c>
      <c r="I272">
        <v>0.92</v>
      </c>
      <c r="J272" t="s">
        <v>18</v>
      </c>
      <c r="K272">
        <v>5</v>
      </c>
      <c r="L272">
        <v>43</v>
      </c>
      <c r="M272">
        <v>0.73</v>
      </c>
      <c r="N272">
        <v>3</v>
      </c>
      <c r="O272">
        <v>0.66</v>
      </c>
      <c r="P272" t="s">
        <v>41</v>
      </c>
    </row>
    <row r="273" spans="1:16" x14ac:dyDescent="0.35">
      <c r="A273" t="s">
        <v>299</v>
      </c>
      <c r="B273">
        <v>272</v>
      </c>
      <c r="C273">
        <v>25</v>
      </c>
      <c r="D273" t="s">
        <v>16</v>
      </c>
      <c r="E273" t="s">
        <v>30</v>
      </c>
      <c r="F273">
        <v>2.99</v>
      </c>
      <c r="G273">
        <v>5</v>
      </c>
      <c r="H273">
        <v>87.1</v>
      </c>
      <c r="I273">
        <v>0.72</v>
      </c>
      <c r="J273" t="s">
        <v>18</v>
      </c>
      <c r="K273">
        <v>19</v>
      </c>
      <c r="L273">
        <v>87</v>
      </c>
      <c r="M273">
        <v>0.88</v>
      </c>
      <c r="N273">
        <v>2</v>
      </c>
      <c r="O273">
        <v>0.94</v>
      </c>
      <c r="P273" t="s">
        <v>19</v>
      </c>
    </row>
    <row r="274" spans="1:16" x14ac:dyDescent="0.35">
      <c r="A274" t="s">
        <v>300</v>
      </c>
      <c r="B274">
        <v>273</v>
      </c>
      <c r="C274">
        <v>25</v>
      </c>
      <c r="D274" t="s">
        <v>32</v>
      </c>
      <c r="E274" t="s">
        <v>22</v>
      </c>
      <c r="F274">
        <v>3.03</v>
      </c>
      <c r="G274">
        <v>3</v>
      </c>
      <c r="H274">
        <v>72</v>
      </c>
      <c r="I274">
        <v>0.83</v>
      </c>
      <c r="J274" t="s">
        <v>18</v>
      </c>
      <c r="K274">
        <v>10</v>
      </c>
      <c r="L274">
        <v>59</v>
      </c>
      <c r="M274">
        <v>0.8</v>
      </c>
      <c r="N274">
        <v>9</v>
      </c>
      <c r="O274">
        <v>0.87</v>
      </c>
      <c r="P274" t="s">
        <v>24</v>
      </c>
    </row>
    <row r="275" spans="1:16" x14ac:dyDescent="0.35">
      <c r="A275" t="s">
        <v>301</v>
      </c>
      <c r="B275">
        <v>274</v>
      </c>
      <c r="C275">
        <v>25</v>
      </c>
      <c r="D275" t="s">
        <v>21</v>
      </c>
      <c r="E275" t="s">
        <v>17</v>
      </c>
      <c r="F275">
        <v>2.96</v>
      </c>
      <c r="G275">
        <v>5</v>
      </c>
      <c r="H275">
        <v>67.400000000000006</v>
      </c>
      <c r="I275">
        <v>0.9</v>
      </c>
      <c r="J275" t="s">
        <v>28</v>
      </c>
      <c r="K275">
        <v>31</v>
      </c>
      <c r="L275">
        <v>56</v>
      </c>
      <c r="M275">
        <v>0.66</v>
      </c>
      <c r="N275">
        <v>11</v>
      </c>
      <c r="O275">
        <v>0.61</v>
      </c>
      <c r="P275" t="s">
        <v>24</v>
      </c>
    </row>
    <row r="276" spans="1:16" x14ac:dyDescent="0.35">
      <c r="A276" t="s">
        <v>302</v>
      </c>
      <c r="B276">
        <v>275</v>
      </c>
      <c r="C276">
        <v>18</v>
      </c>
      <c r="D276" t="s">
        <v>21</v>
      </c>
      <c r="E276" t="s">
        <v>22</v>
      </c>
      <c r="F276">
        <v>3.27</v>
      </c>
      <c r="G276">
        <v>4</v>
      </c>
      <c r="H276">
        <v>90.3</v>
      </c>
      <c r="I276">
        <v>0.75</v>
      </c>
      <c r="J276" t="s">
        <v>18</v>
      </c>
      <c r="K276">
        <v>26</v>
      </c>
      <c r="L276">
        <v>55</v>
      </c>
      <c r="M276">
        <v>1</v>
      </c>
      <c r="N276">
        <v>17</v>
      </c>
      <c r="O276">
        <v>0.54</v>
      </c>
      <c r="P276" t="s">
        <v>24</v>
      </c>
    </row>
    <row r="277" spans="1:16" x14ac:dyDescent="0.35">
      <c r="A277" t="s">
        <v>303</v>
      </c>
      <c r="B277">
        <v>276</v>
      </c>
      <c r="C277">
        <v>21</v>
      </c>
      <c r="D277" t="s">
        <v>21</v>
      </c>
      <c r="E277" t="s">
        <v>46</v>
      </c>
      <c r="F277">
        <v>2.1800000000000002</v>
      </c>
      <c r="G277">
        <v>6</v>
      </c>
      <c r="H277">
        <v>79</v>
      </c>
      <c r="I277">
        <v>0.72</v>
      </c>
      <c r="J277" t="s">
        <v>18</v>
      </c>
      <c r="K277">
        <v>20</v>
      </c>
      <c r="L277">
        <v>65</v>
      </c>
      <c r="M277">
        <v>0.52</v>
      </c>
      <c r="N277">
        <v>19</v>
      </c>
      <c r="O277">
        <v>0.86</v>
      </c>
      <c r="P277" t="s">
        <v>19</v>
      </c>
    </row>
    <row r="278" spans="1:16" x14ac:dyDescent="0.35">
      <c r="A278" t="s">
        <v>304</v>
      </c>
      <c r="B278">
        <v>277</v>
      </c>
      <c r="C278">
        <v>18</v>
      </c>
      <c r="D278" t="s">
        <v>16</v>
      </c>
      <c r="E278" t="s">
        <v>30</v>
      </c>
      <c r="F278">
        <v>2.0699999999999998</v>
      </c>
      <c r="G278">
        <v>5</v>
      </c>
      <c r="H278">
        <v>69</v>
      </c>
      <c r="I278">
        <v>0.78</v>
      </c>
      <c r="J278" t="s">
        <v>23</v>
      </c>
      <c r="K278">
        <v>12</v>
      </c>
      <c r="L278">
        <v>66</v>
      </c>
      <c r="M278">
        <v>0.57999999999999996</v>
      </c>
      <c r="N278">
        <v>5</v>
      </c>
      <c r="O278">
        <v>0.7</v>
      </c>
      <c r="P278" t="s">
        <v>19</v>
      </c>
    </row>
    <row r="279" spans="1:16" x14ac:dyDescent="0.35">
      <c r="A279" t="s">
        <v>305</v>
      </c>
      <c r="B279">
        <v>278</v>
      </c>
      <c r="C279">
        <v>23</v>
      </c>
      <c r="D279" t="s">
        <v>32</v>
      </c>
      <c r="E279" t="s">
        <v>22</v>
      </c>
      <c r="F279">
        <v>2.12</v>
      </c>
      <c r="G279">
        <v>5</v>
      </c>
      <c r="H279">
        <v>84.7</v>
      </c>
      <c r="I279">
        <v>0.93</v>
      </c>
      <c r="J279" t="s">
        <v>28</v>
      </c>
      <c r="K279">
        <v>21</v>
      </c>
      <c r="L279">
        <v>60</v>
      </c>
      <c r="M279">
        <v>0.95</v>
      </c>
      <c r="N279">
        <v>1</v>
      </c>
      <c r="O279">
        <v>0.88</v>
      </c>
      <c r="P279" t="s">
        <v>19</v>
      </c>
    </row>
    <row r="280" spans="1:16" x14ac:dyDescent="0.35">
      <c r="A280" t="s">
        <v>306</v>
      </c>
      <c r="B280">
        <v>279</v>
      </c>
      <c r="C280">
        <v>18</v>
      </c>
      <c r="D280" t="s">
        <v>21</v>
      </c>
      <c r="E280" t="s">
        <v>22</v>
      </c>
      <c r="F280">
        <v>2.89</v>
      </c>
      <c r="G280">
        <v>3</v>
      </c>
      <c r="H280">
        <v>61.6</v>
      </c>
      <c r="I280">
        <v>0.97</v>
      </c>
      <c r="J280" t="s">
        <v>18</v>
      </c>
      <c r="K280">
        <v>34</v>
      </c>
      <c r="L280">
        <v>63</v>
      </c>
      <c r="M280">
        <v>0.53</v>
      </c>
      <c r="N280">
        <v>9</v>
      </c>
      <c r="O280">
        <v>0.72</v>
      </c>
      <c r="P280" t="s">
        <v>24</v>
      </c>
    </row>
    <row r="281" spans="1:16" x14ac:dyDescent="0.35">
      <c r="A281" t="s">
        <v>307</v>
      </c>
      <c r="B281">
        <v>280</v>
      </c>
      <c r="C281">
        <v>19</v>
      </c>
      <c r="D281" t="s">
        <v>21</v>
      </c>
      <c r="E281" t="s">
        <v>22</v>
      </c>
      <c r="F281">
        <v>2.5499999999999998</v>
      </c>
      <c r="G281">
        <v>4</v>
      </c>
      <c r="H281">
        <v>73</v>
      </c>
      <c r="I281">
        <v>0.82</v>
      </c>
      <c r="J281" t="s">
        <v>18</v>
      </c>
      <c r="K281">
        <v>21</v>
      </c>
      <c r="L281">
        <v>37</v>
      </c>
      <c r="M281">
        <v>0.94</v>
      </c>
      <c r="N281">
        <v>1</v>
      </c>
      <c r="O281">
        <v>0.67</v>
      </c>
      <c r="P281" t="s">
        <v>24</v>
      </c>
    </row>
    <row r="282" spans="1:16" x14ac:dyDescent="0.35">
      <c r="A282" t="s">
        <v>308</v>
      </c>
      <c r="B282">
        <v>281</v>
      </c>
      <c r="C282">
        <v>21</v>
      </c>
      <c r="D282" t="s">
        <v>32</v>
      </c>
      <c r="E282" t="s">
        <v>46</v>
      </c>
      <c r="F282">
        <v>3.24</v>
      </c>
      <c r="G282">
        <v>3</v>
      </c>
      <c r="H282">
        <v>78.7</v>
      </c>
      <c r="I282">
        <v>0.86</v>
      </c>
      <c r="J282" t="s">
        <v>18</v>
      </c>
      <c r="K282">
        <v>27</v>
      </c>
      <c r="L282">
        <v>28</v>
      </c>
      <c r="M282">
        <v>0.86</v>
      </c>
      <c r="N282">
        <v>8</v>
      </c>
      <c r="O282">
        <v>0.73</v>
      </c>
      <c r="P282" t="s">
        <v>41</v>
      </c>
    </row>
    <row r="283" spans="1:16" x14ac:dyDescent="0.35">
      <c r="A283" t="s">
        <v>309</v>
      </c>
      <c r="B283">
        <v>282</v>
      </c>
      <c r="C283">
        <v>21</v>
      </c>
      <c r="D283" t="s">
        <v>21</v>
      </c>
      <c r="E283" t="s">
        <v>22</v>
      </c>
      <c r="F283">
        <v>3.98</v>
      </c>
      <c r="G283">
        <v>4</v>
      </c>
      <c r="H283">
        <v>65.900000000000006</v>
      </c>
      <c r="I283">
        <v>0.96</v>
      </c>
      <c r="J283" t="s">
        <v>23</v>
      </c>
      <c r="K283">
        <v>20</v>
      </c>
      <c r="L283">
        <v>36</v>
      </c>
      <c r="M283">
        <v>0.52</v>
      </c>
      <c r="N283">
        <v>9</v>
      </c>
      <c r="O283">
        <v>0.87</v>
      </c>
      <c r="P283" t="s">
        <v>41</v>
      </c>
    </row>
    <row r="284" spans="1:16" x14ac:dyDescent="0.35">
      <c r="A284" t="s">
        <v>310</v>
      </c>
      <c r="B284">
        <v>283</v>
      </c>
      <c r="C284">
        <v>23</v>
      </c>
      <c r="D284" t="s">
        <v>32</v>
      </c>
      <c r="E284" t="s">
        <v>46</v>
      </c>
      <c r="F284">
        <v>2.77</v>
      </c>
      <c r="G284">
        <v>3</v>
      </c>
      <c r="H284">
        <v>99.4</v>
      </c>
      <c r="I284">
        <v>0.64</v>
      </c>
      <c r="J284" t="s">
        <v>23</v>
      </c>
      <c r="K284">
        <v>17</v>
      </c>
      <c r="L284">
        <v>57</v>
      </c>
      <c r="M284">
        <v>0.71</v>
      </c>
      <c r="N284">
        <v>1</v>
      </c>
      <c r="O284">
        <v>0.95</v>
      </c>
      <c r="P284" t="s">
        <v>19</v>
      </c>
    </row>
    <row r="285" spans="1:16" x14ac:dyDescent="0.35">
      <c r="A285" t="s">
        <v>311</v>
      </c>
      <c r="B285">
        <v>284</v>
      </c>
      <c r="C285">
        <v>24</v>
      </c>
      <c r="D285" t="s">
        <v>32</v>
      </c>
      <c r="E285" t="s">
        <v>46</v>
      </c>
      <c r="F285">
        <v>3.15</v>
      </c>
      <c r="G285">
        <v>5</v>
      </c>
      <c r="H285">
        <v>68.400000000000006</v>
      </c>
      <c r="I285">
        <v>0.69</v>
      </c>
      <c r="J285" t="s">
        <v>23</v>
      </c>
      <c r="K285">
        <v>30</v>
      </c>
      <c r="L285">
        <v>28</v>
      </c>
      <c r="M285">
        <v>0.88</v>
      </c>
      <c r="N285">
        <v>7</v>
      </c>
      <c r="O285">
        <v>0.52</v>
      </c>
      <c r="P285" t="s">
        <v>19</v>
      </c>
    </row>
    <row r="286" spans="1:16" x14ac:dyDescent="0.35">
      <c r="A286" t="s">
        <v>312</v>
      </c>
      <c r="B286">
        <v>285</v>
      </c>
      <c r="C286">
        <v>19</v>
      </c>
      <c r="D286" t="s">
        <v>32</v>
      </c>
      <c r="E286" t="s">
        <v>46</v>
      </c>
      <c r="F286">
        <v>2.83</v>
      </c>
      <c r="G286">
        <v>3</v>
      </c>
      <c r="H286">
        <v>65.2</v>
      </c>
      <c r="I286">
        <v>0.88</v>
      </c>
      <c r="J286" t="s">
        <v>18</v>
      </c>
      <c r="K286">
        <v>36</v>
      </c>
      <c r="L286">
        <v>60</v>
      </c>
      <c r="M286">
        <v>0.79</v>
      </c>
      <c r="N286">
        <v>16</v>
      </c>
      <c r="O286">
        <v>0.76</v>
      </c>
      <c r="P286" t="s">
        <v>24</v>
      </c>
    </row>
    <row r="287" spans="1:16" x14ac:dyDescent="0.35">
      <c r="A287" t="s">
        <v>313</v>
      </c>
      <c r="B287">
        <v>286</v>
      </c>
      <c r="C287">
        <v>20</v>
      </c>
      <c r="D287" t="s">
        <v>32</v>
      </c>
      <c r="E287" t="s">
        <v>30</v>
      </c>
      <c r="F287">
        <v>3.69</v>
      </c>
      <c r="G287">
        <v>6</v>
      </c>
      <c r="H287">
        <v>68.099999999999994</v>
      </c>
      <c r="I287">
        <v>0.93</v>
      </c>
      <c r="J287" t="s">
        <v>23</v>
      </c>
      <c r="K287">
        <v>20</v>
      </c>
      <c r="L287">
        <v>16</v>
      </c>
      <c r="M287">
        <v>0.97</v>
      </c>
      <c r="N287">
        <v>16</v>
      </c>
      <c r="O287">
        <v>0.52</v>
      </c>
      <c r="P287" t="s">
        <v>41</v>
      </c>
    </row>
    <row r="288" spans="1:16" x14ac:dyDescent="0.35">
      <c r="A288" t="s">
        <v>314</v>
      </c>
      <c r="B288">
        <v>287</v>
      </c>
      <c r="C288">
        <v>18</v>
      </c>
      <c r="D288" t="s">
        <v>32</v>
      </c>
      <c r="E288" t="s">
        <v>30</v>
      </c>
      <c r="F288">
        <v>3.8</v>
      </c>
      <c r="G288">
        <v>4</v>
      </c>
      <c r="H288">
        <v>90.8</v>
      </c>
      <c r="I288">
        <v>0.94</v>
      </c>
      <c r="J288" t="s">
        <v>18</v>
      </c>
      <c r="K288">
        <v>13</v>
      </c>
      <c r="L288">
        <v>38</v>
      </c>
      <c r="M288">
        <v>0.93</v>
      </c>
      <c r="N288">
        <v>3</v>
      </c>
      <c r="O288">
        <v>0.73</v>
      </c>
      <c r="P288" t="s">
        <v>41</v>
      </c>
    </row>
    <row r="289" spans="1:16" x14ac:dyDescent="0.35">
      <c r="A289" t="s">
        <v>315</v>
      </c>
      <c r="B289">
        <v>288</v>
      </c>
      <c r="C289">
        <v>22</v>
      </c>
      <c r="D289" t="s">
        <v>16</v>
      </c>
      <c r="E289" t="s">
        <v>22</v>
      </c>
      <c r="F289">
        <v>3.75</v>
      </c>
      <c r="G289">
        <v>4</v>
      </c>
      <c r="H289">
        <v>77</v>
      </c>
      <c r="I289">
        <v>0.77</v>
      </c>
      <c r="J289" t="s">
        <v>28</v>
      </c>
      <c r="K289">
        <v>24</v>
      </c>
      <c r="L289">
        <v>52</v>
      </c>
      <c r="M289">
        <v>0.67</v>
      </c>
      <c r="N289">
        <v>17</v>
      </c>
      <c r="O289">
        <v>0.94</v>
      </c>
      <c r="P289" t="s">
        <v>24</v>
      </c>
    </row>
    <row r="290" spans="1:16" x14ac:dyDescent="0.35">
      <c r="A290" t="s">
        <v>316</v>
      </c>
      <c r="B290">
        <v>289</v>
      </c>
      <c r="C290">
        <v>18</v>
      </c>
      <c r="D290" t="s">
        <v>21</v>
      </c>
      <c r="E290" t="s">
        <v>22</v>
      </c>
      <c r="F290">
        <v>3.95</v>
      </c>
      <c r="G290">
        <v>5</v>
      </c>
      <c r="H290">
        <v>82.6</v>
      </c>
      <c r="I290">
        <v>0.64</v>
      </c>
      <c r="J290" t="s">
        <v>18</v>
      </c>
      <c r="K290">
        <v>26</v>
      </c>
      <c r="L290">
        <v>78</v>
      </c>
      <c r="M290">
        <v>0.54</v>
      </c>
      <c r="N290">
        <v>11</v>
      </c>
      <c r="O290">
        <v>0.68</v>
      </c>
      <c r="P290" t="s">
        <v>19</v>
      </c>
    </row>
    <row r="291" spans="1:16" x14ac:dyDescent="0.35">
      <c r="A291" t="s">
        <v>317</v>
      </c>
      <c r="B291">
        <v>290</v>
      </c>
      <c r="C291">
        <v>25</v>
      </c>
      <c r="D291" t="s">
        <v>16</v>
      </c>
      <c r="E291" t="s">
        <v>30</v>
      </c>
      <c r="F291">
        <v>2.06</v>
      </c>
      <c r="G291">
        <v>4</v>
      </c>
      <c r="H291">
        <v>60.8</v>
      </c>
      <c r="I291">
        <v>0.78</v>
      </c>
      <c r="J291" t="s">
        <v>23</v>
      </c>
      <c r="K291">
        <v>39</v>
      </c>
      <c r="L291">
        <v>67</v>
      </c>
      <c r="M291">
        <v>0.97</v>
      </c>
      <c r="N291">
        <v>16</v>
      </c>
      <c r="O291">
        <v>0.97</v>
      </c>
      <c r="P291" t="s">
        <v>19</v>
      </c>
    </row>
    <row r="292" spans="1:16" x14ac:dyDescent="0.35">
      <c r="A292" t="s">
        <v>318</v>
      </c>
      <c r="B292">
        <v>291</v>
      </c>
      <c r="C292">
        <v>18</v>
      </c>
      <c r="D292" t="s">
        <v>21</v>
      </c>
      <c r="E292" t="s">
        <v>17</v>
      </c>
      <c r="F292">
        <v>3.68</v>
      </c>
      <c r="G292">
        <v>6</v>
      </c>
      <c r="H292">
        <v>61.4</v>
      </c>
      <c r="I292">
        <v>0.69</v>
      </c>
      <c r="J292" t="s">
        <v>28</v>
      </c>
      <c r="K292">
        <v>22</v>
      </c>
      <c r="L292">
        <v>17</v>
      </c>
      <c r="M292">
        <v>0.76</v>
      </c>
      <c r="N292">
        <v>8</v>
      </c>
      <c r="O292">
        <v>0.82</v>
      </c>
      <c r="P292" t="s">
        <v>19</v>
      </c>
    </row>
    <row r="293" spans="1:16" x14ac:dyDescent="0.35">
      <c r="A293" t="s">
        <v>319</v>
      </c>
      <c r="B293">
        <v>292</v>
      </c>
      <c r="C293">
        <v>20</v>
      </c>
      <c r="D293" t="s">
        <v>16</v>
      </c>
      <c r="E293" t="s">
        <v>30</v>
      </c>
      <c r="F293">
        <v>3.5</v>
      </c>
      <c r="G293">
        <v>3</v>
      </c>
      <c r="H293">
        <v>77.8</v>
      </c>
      <c r="I293">
        <v>0.72</v>
      </c>
      <c r="J293" t="s">
        <v>18</v>
      </c>
      <c r="K293">
        <v>30</v>
      </c>
      <c r="L293">
        <v>51</v>
      </c>
      <c r="M293">
        <v>0.54</v>
      </c>
      <c r="N293">
        <v>18</v>
      </c>
      <c r="O293">
        <v>0.97</v>
      </c>
      <c r="P293" t="s">
        <v>19</v>
      </c>
    </row>
    <row r="294" spans="1:16" x14ac:dyDescent="0.35">
      <c r="A294" t="s">
        <v>320</v>
      </c>
      <c r="B294">
        <v>293</v>
      </c>
      <c r="C294">
        <v>18</v>
      </c>
      <c r="D294" t="s">
        <v>32</v>
      </c>
      <c r="E294" t="s">
        <v>46</v>
      </c>
      <c r="F294">
        <v>2.46</v>
      </c>
      <c r="G294">
        <v>5</v>
      </c>
      <c r="H294">
        <v>92.7</v>
      </c>
      <c r="I294">
        <v>0.91</v>
      </c>
      <c r="J294" t="s">
        <v>28</v>
      </c>
      <c r="K294">
        <v>28</v>
      </c>
      <c r="L294">
        <v>85</v>
      </c>
      <c r="M294">
        <v>0.91</v>
      </c>
      <c r="N294">
        <v>13</v>
      </c>
      <c r="O294">
        <v>0.88</v>
      </c>
      <c r="P294" t="s">
        <v>19</v>
      </c>
    </row>
    <row r="295" spans="1:16" x14ac:dyDescent="0.35">
      <c r="A295" t="s">
        <v>321</v>
      </c>
      <c r="B295">
        <v>294</v>
      </c>
      <c r="C295">
        <v>19</v>
      </c>
      <c r="D295" t="s">
        <v>21</v>
      </c>
      <c r="E295" t="s">
        <v>30</v>
      </c>
      <c r="F295">
        <v>3.91</v>
      </c>
      <c r="G295">
        <v>6</v>
      </c>
      <c r="H295">
        <v>95.4</v>
      </c>
      <c r="I295">
        <v>0.63</v>
      </c>
      <c r="J295" t="s">
        <v>28</v>
      </c>
      <c r="K295">
        <v>29</v>
      </c>
      <c r="L295">
        <v>51</v>
      </c>
      <c r="M295">
        <v>0.93</v>
      </c>
      <c r="N295">
        <v>13</v>
      </c>
      <c r="O295">
        <v>0.55000000000000004</v>
      </c>
      <c r="P295" t="s">
        <v>19</v>
      </c>
    </row>
    <row r="296" spans="1:16" x14ac:dyDescent="0.35">
      <c r="A296" t="s">
        <v>322</v>
      </c>
      <c r="B296">
        <v>295</v>
      </c>
      <c r="C296">
        <v>19</v>
      </c>
      <c r="D296" t="s">
        <v>21</v>
      </c>
      <c r="E296" t="s">
        <v>46</v>
      </c>
      <c r="F296">
        <v>2.2999999999999998</v>
      </c>
      <c r="G296">
        <v>4</v>
      </c>
      <c r="H296">
        <v>63.5</v>
      </c>
      <c r="I296">
        <v>0.93</v>
      </c>
      <c r="J296" t="s">
        <v>28</v>
      </c>
      <c r="K296">
        <v>25</v>
      </c>
      <c r="L296">
        <v>22</v>
      </c>
      <c r="M296">
        <v>0.82</v>
      </c>
      <c r="N296">
        <v>16</v>
      </c>
      <c r="O296">
        <v>0.62</v>
      </c>
      <c r="P296" t="s">
        <v>19</v>
      </c>
    </row>
    <row r="297" spans="1:16" x14ac:dyDescent="0.35">
      <c r="A297" t="s">
        <v>323</v>
      </c>
      <c r="B297">
        <v>296</v>
      </c>
      <c r="C297">
        <v>21</v>
      </c>
      <c r="D297" t="s">
        <v>16</v>
      </c>
      <c r="E297" t="s">
        <v>22</v>
      </c>
      <c r="F297">
        <v>3.36</v>
      </c>
      <c r="G297">
        <v>4</v>
      </c>
      <c r="H297">
        <v>81.5</v>
      </c>
      <c r="I297">
        <v>0.77</v>
      </c>
      <c r="J297" t="s">
        <v>18</v>
      </c>
      <c r="K297">
        <v>19</v>
      </c>
      <c r="L297">
        <v>35</v>
      </c>
      <c r="M297">
        <v>0.72</v>
      </c>
      <c r="N297">
        <v>1</v>
      </c>
      <c r="O297">
        <v>0.7</v>
      </c>
      <c r="P297" t="s">
        <v>24</v>
      </c>
    </row>
    <row r="298" spans="1:16" x14ac:dyDescent="0.35">
      <c r="A298" t="s">
        <v>324</v>
      </c>
      <c r="B298">
        <v>297</v>
      </c>
      <c r="C298">
        <v>23</v>
      </c>
      <c r="D298" t="s">
        <v>16</v>
      </c>
      <c r="E298" t="s">
        <v>17</v>
      </c>
      <c r="F298">
        <v>2.4500000000000002</v>
      </c>
      <c r="G298">
        <v>6</v>
      </c>
      <c r="H298">
        <v>96.5</v>
      </c>
      <c r="I298">
        <v>0.84</v>
      </c>
      <c r="J298" t="s">
        <v>23</v>
      </c>
      <c r="K298">
        <v>37</v>
      </c>
      <c r="L298">
        <v>27</v>
      </c>
      <c r="M298">
        <v>0.83</v>
      </c>
      <c r="N298">
        <v>7</v>
      </c>
      <c r="O298">
        <v>0.59</v>
      </c>
      <c r="P298" t="s">
        <v>19</v>
      </c>
    </row>
    <row r="299" spans="1:16" x14ac:dyDescent="0.35">
      <c r="A299" t="s">
        <v>325</v>
      </c>
      <c r="B299">
        <v>298</v>
      </c>
      <c r="C299">
        <v>24</v>
      </c>
      <c r="D299" t="s">
        <v>21</v>
      </c>
      <c r="E299" t="s">
        <v>22</v>
      </c>
      <c r="F299">
        <v>2.86</v>
      </c>
      <c r="G299">
        <v>3</v>
      </c>
      <c r="H299">
        <v>75.5</v>
      </c>
      <c r="I299">
        <v>0.64</v>
      </c>
      <c r="J299" t="s">
        <v>18</v>
      </c>
      <c r="K299">
        <v>18</v>
      </c>
      <c r="L299">
        <v>51</v>
      </c>
      <c r="M299">
        <v>0.85</v>
      </c>
      <c r="N299">
        <v>4</v>
      </c>
      <c r="O299">
        <v>0.75</v>
      </c>
      <c r="P299" t="s">
        <v>19</v>
      </c>
    </row>
    <row r="300" spans="1:16" x14ac:dyDescent="0.35">
      <c r="A300" t="s">
        <v>326</v>
      </c>
      <c r="B300">
        <v>299</v>
      </c>
      <c r="C300">
        <v>22</v>
      </c>
      <c r="D300" t="s">
        <v>16</v>
      </c>
      <c r="E300" t="s">
        <v>46</v>
      </c>
      <c r="F300">
        <v>3.44</v>
      </c>
      <c r="G300">
        <v>3</v>
      </c>
      <c r="H300">
        <v>93.2</v>
      </c>
      <c r="I300">
        <v>0.73</v>
      </c>
      <c r="J300" t="s">
        <v>23</v>
      </c>
      <c r="K300">
        <v>26</v>
      </c>
      <c r="L300">
        <v>60</v>
      </c>
      <c r="M300">
        <v>0.95</v>
      </c>
      <c r="N300">
        <v>6</v>
      </c>
      <c r="O300">
        <v>0.74</v>
      </c>
      <c r="P300" t="s">
        <v>19</v>
      </c>
    </row>
    <row r="301" spans="1:16" x14ac:dyDescent="0.35">
      <c r="A301" t="s">
        <v>327</v>
      </c>
      <c r="B301">
        <v>300</v>
      </c>
      <c r="C301">
        <v>25</v>
      </c>
      <c r="D301" t="s">
        <v>16</v>
      </c>
      <c r="E301" t="s">
        <v>46</v>
      </c>
      <c r="F301">
        <v>3.13</v>
      </c>
      <c r="G301">
        <v>5</v>
      </c>
      <c r="H301">
        <v>65.3</v>
      </c>
      <c r="I301">
        <v>0.64</v>
      </c>
      <c r="J301" t="s">
        <v>18</v>
      </c>
      <c r="K301">
        <v>24</v>
      </c>
      <c r="L301">
        <v>25</v>
      </c>
      <c r="M301">
        <v>0.98</v>
      </c>
      <c r="N301">
        <v>15</v>
      </c>
      <c r="O301">
        <v>0.98</v>
      </c>
      <c r="P301" t="s">
        <v>19</v>
      </c>
    </row>
    <row r="302" spans="1:16" x14ac:dyDescent="0.35">
      <c r="A302" t="s">
        <v>328</v>
      </c>
      <c r="B302">
        <v>301</v>
      </c>
      <c r="C302">
        <v>18</v>
      </c>
      <c r="D302" t="s">
        <v>16</v>
      </c>
      <c r="E302" t="s">
        <v>46</v>
      </c>
      <c r="F302">
        <v>2.86</v>
      </c>
      <c r="G302">
        <v>4</v>
      </c>
      <c r="H302">
        <v>97.4</v>
      </c>
      <c r="I302">
        <v>0.98</v>
      </c>
      <c r="J302" t="s">
        <v>18</v>
      </c>
      <c r="K302">
        <v>39</v>
      </c>
      <c r="L302">
        <v>12</v>
      </c>
      <c r="M302">
        <v>0.76</v>
      </c>
      <c r="N302">
        <v>15</v>
      </c>
      <c r="O302">
        <v>0.72</v>
      </c>
      <c r="P302" t="s">
        <v>24</v>
      </c>
    </row>
    <row r="303" spans="1:16" x14ac:dyDescent="0.35">
      <c r="A303" t="s">
        <v>329</v>
      </c>
      <c r="B303">
        <v>302</v>
      </c>
      <c r="C303">
        <v>18</v>
      </c>
      <c r="D303" t="s">
        <v>32</v>
      </c>
      <c r="E303" t="s">
        <v>17</v>
      </c>
      <c r="F303">
        <v>2.65</v>
      </c>
      <c r="G303">
        <v>6</v>
      </c>
      <c r="H303">
        <v>90.1</v>
      </c>
      <c r="I303">
        <v>0.92</v>
      </c>
      <c r="J303" t="s">
        <v>18</v>
      </c>
      <c r="K303">
        <v>37</v>
      </c>
      <c r="L303">
        <v>88</v>
      </c>
      <c r="M303">
        <v>0.9</v>
      </c>
      <c r="N303">
        <v>16</v>
      </c>
      <c r="O303">
        <v>0.89</v>
      </c>
      <c r="P303" t="s">
        <v>24</v>
      </c>
    </row>
    <row r="304" spans="1:16" x14ac:dyDescent="0.35">
      <c r="A304" t="s">
        <v>330</v>
      </c>
      <c r="B304">
        <v>303</v>
      </c>
      <c r="C304">
        <v>20</v>
      </c>
      <c r="D304" t="s">
        <v>32</v>
      </c>
      <c r="E304" t="s">
        <v>30</v>
      </c>
      <c r="F304">
        <v>3.68</v>
      </c>
      <c r="G304">
        <v>3</v>
      </c>
      <c r="H304">
        <v>97.7</v>
      </c>
      <c r="I304">
        <v>0.78</v>
      </c>
      <c r="J304" t="s">
        <v>23</v>
      </c>
      <c r="K304">
        <v>22</v>
      </c>
      <c r="L304">
        <v>54</v>
      </c>
      <c r="M304">
        <v>0.98</v>
      </c>
      <c r="N304">
        <v>6</v>
      </c>
      <c r="O304">
        <v>0.97</v>
      </c>
      <c r="P304" t="s">
        <v>24</v>
      </c>
    </row>
    <row r="305" spans="1:16" x14ac:dyDescent="0.35">
      <c r="A305" t="s">
        <v>331</v>
      </c>
      <c r="B305">
        <v>304</v>
      </c>
      <c r="C305">
        <v>23</v>
      </c>
      <c r="D305" t="s">
        <v>16</v>
      </c>
      <c r="E305" t="s">
        <v>22</v>
      </c>
      <c r="F305">
        <v>2.29</v>
      </c>
      <c r="G305">
        <v>5</v>
      </c>
      <c r="H305">
        <v>87.1</v>
      </c>
      <c r="I305">
        <v>0.69</v>
      </c>
      <c r="J305" t="s">
        <v>18</v>
      </c>
      <c r="K305">
        <v>28</v>
      </c>
      <c r="L305">
        <v>31</v>
      </c>
      <c r="M305">
        <v>0.57999999999999996</v>
      </c>
      <c r="N305">
        <v>19</v>
      </c>
      <c r="O305">
        <v>0.94</v>
      </c>
      <c r="P305" t="s">
        <v>19</v>
      </c>
    </row>
    <row r="306" spans="1:16" x14ac:dyDescent="0.35">
      <c r="A306" t="s">
        <v>332</v>
      </c>
      <c r="B306">
        <v>305</v>
      </c>
      <c r="C306">
        <v>19</v>
      </c>
      <c r="D306" t="s">
        <v>16</v>
      </c>
      <c r="E306" t="s">
        <v>22</v>
      </c>
      <c r="F306">
        <v>2.86</v>
      </c>
      <c r="G306">
        <v>4</v>
      </c>
      <c r="H306">
        <v>74.5</v>
      </c>
      <c r="I306">
        <v>0.97</v>
      </c>
      <c r="J306" t="s">
        <v>28</v>
      </c>
      <c r="K306">
        <v>14</v>
      </c>
      <c r="L306">
        <v>32</v>
      </c>
      <c r="M306">
        <v>0.51</v>
      </c>
      <c r="N306">
        <v>7</v>
      </c>
      <c r="O306">
        <v>0.6</v>
      </c>
      <c r="P306" t="s">
        <v>24</v>
      </c>
    </row>
    <row r="307" spans="1:16" x14ac:dyDescent="0.35">
      <c r="A307" t="s">
        <v>333</v>
      </c>
      <c r="B307">
        <v>306</v>
      </c>
      <c r="C307">
        <v>22</v>
      </c>
      <c r="D307" t="s">
        <v>32</v>
      </c>
      <c r="E307" t="s">
        <v>30</v>
      </c>
      <c r="F307">
        <v>3.81</v>
      </c>
      <c r="G307">
        <v>4</v>
      </c>
      <c r="H307">
        <v>97.5</v>
      </c>
      <c r="I307">
        <v>0.74</v>
      </c>
      <c r="J307" t="s">
        <v>18</v>
      </c>
      <c r="K307">
        <v>2</v>
      </c>
      <c r="L307">
        <v>68</v>
      </c>
      <c r="M307">
        <v>0.93</v>
      </c>
      <c r="N307">
        <v>7</v>
      </c>
      <c r="O307">
        <v>0.75</v>
      </c>
      <c r="P307" t="s">
        <v>19</v>
      </c>
    </row>
    <row r="308" spans="1:16" x14ac:dyDescent="0.35">
      <c r="A308" t="s">
        <v>334</v>
      </c>
      <c r="B308">
        <v>307</v>
      </c>
      <c r="C308">
        <v>21</v>
      </c>
      <c r="D308" t="s">
        <v>32</v>
      </c>
      <c r="E308" t="s">
        <v>22</v>
      </c>
      <c r="F308">
        <v>3.69</v>
      </c>
      <c r="G308">
        <v>5</v>
      </c>
      <c r="H308">
        <v>71</v>
      </c>
      <c r="I308">
        <v>0.66</v>
      </c>
      <c r="J308" t="s">
        <v>28</v>
      </c>
      <c r="K308">
        <v>9</v>
      </c>
      <c r="L308">
        <v>71</v>
      </c>
      <c r="M308">
        <v>0.6</v>
      </c>
      <c r="N308">
        <v>10</v>
      </c>
      <c r="O308">
        <v>0.67</v>
      </c>
      <c r="P308" t="s">
        <v>19</v>
      </c>
    </row>
    <row r="309" spans="1:16" x14ac:dyDescent="0.35">
      <c r="A309" t="s">
        <v>335</v>
      </c>
      <c r="B309">
        <v>308</v>
      </c>
      <c r="C309">
        <v>19</v>
      </c>
      <c r="D309" t="s">
        <v>21</v>
      </c>
      <c r="E309" t="s">
        <v>17</v>
      </c>
      <c r="F309">
        <v>2.8</v>
      </c>
      <c r="G309">
        <v>5</v>
      </c>
      <c r="H309">
        <v>73.3</v>
      </c>
      <c r="I309">
        <v>0.83</v>
      </c>
      <c r="J309" t="s">
        <v>23</v>
      </c>
      <c r="K309">
        <v>14</v>
      </c>
      <c r="L309">
        <v>77</v>
      </c>
      <c r="M309">
        <v>0.52</v>
      </c>
      <c r="N309">
        <v>14</v>
      </c>
      <c r="O309">
        <v>0.7</v>
      </c>
      <c r="P309" t="s">
        <v>24</v>
      </c>
    </row>
    <row r="310" spans="1:16" x14ac:dyDescent="0.35">
      <c r="A310" t="s">
        <v>336</v>
      </c>
      <c r="B310">
        <v>309</v>
      </c>
      <c r="C310">
        <v>25</v>
      </c>
      <c r="D310" t="s">
        <v>21</v>
      </c>
      <c r="E310" t="s">
        <v>22</v>
      </c>
      <c r="F310">
        <v>3.53</v>
      </c>
      <c r="G310">
        <v>3</v>
      </c>
      <c r="H310">
        <v>88</v>
      </c>
      <c r="I310">
        <v>0.98</v>
      </c>
      <c r="J310" t="s">
        <v>23</v>
      </c>
      <c r="K310">
        <v>15</v>
      </c>
      <c r="L310">
        <v>63</v>
      </c>
      <c r="M310">
        <v>0.57999999999999996</v>
      </c>
      <c r="N310">
        <v>17</v>
      </c>
      <c r="O310">
        <v>0.68</v>
      </c>
      <c r="P310" t="s">
        <v>41</v>
      </c>
    </row>
    <row r="311" spans="1:16" x14ac:dyDescent="0.35">
      <c r="A311" t="s">
        <v>337</v>
      </c>
      <c r="B311">
        <v>310</v>
      </c>
      <c r="C311">
        <v>23</v>
      </c>
      <c r="D311" t="s">
        <v>32</v>
      </c>
      <c r="E311" t="s">
        <v>46</v>
      </c>
      <c r="F311">
        <v>3.65</v>
      </c>
      <c r="G311">
        <v>6</v>
      </c>
      <c r="H311">
        <v>90.6</v>
      </c>
      <c r="I311">
        <v>0.6</v>
      </c>
      <c r="J311" t="s">
        <v>18</v>
      </c>
      <c r="K311">
        <v>16</v>
      </c>
      <c r="L311">
        <v>66</v>
      </c>
      <c r="M311">
        <v>0.69</v>
      </c>
      <c r="N311">
        <v>5</v>
      </c>
      <c r="O311">
        <v>0.91</v>
      </c>
      <c r="P311" t="s">
        <v>19</v>
      </c>
    </row>
    <row r="312" spans="1:16" x14ac:dyDescent="0.35">
      <c r="A312" t="s">
        <v>338</v>
      </c>
      <c r="B312">
        <v>311</v>
      </c>
      <c r="C312">
        <v>25</v>
      </c>
      <c r="D312" t="s">
        <v>16</v>
      </c>
      <c r="E312" t="s">
        <v>30</v>
      </c>
      <c r="F312">
        <v>3.78</v>
      </c>
      <c r="G312">
        <v>4</v>
      </c>
      <c r="H312">
        <v>97.2</v>
      </c>
      <c r="I312">
        <v>0.7</v>
      </c>
      <c r="J312" t="s">
        <v>18</v>
      </c>
      <c r="K312">
        <v>18</v>
      </c>
      <c r="L312">
        <v>32</v>
      </c>
      <c r="M312">
        <v>0.61</v>
      </c>
      <c r="N312">
        <v>11</v>
      </c>
      <c r="O312">
        <v>0.73</v>
      </c>
      <c r="P312" t="s">
        <v>19</v>
      </c>
    </row>
    <row r="313" spans="1:16" x14ac:dyDescent="0.35">
      <c r="A313" t="s">
        <v>339</v>
      </c>
      <c r="B313">
        <v>312</v>
      </c>
      <c r="C313">
        <v>24</v>
      </c>
      <c r="D313" t="s">
        <v>16</v>
      </c>
      <c r="E313" t="s">
        <v>17</v>
      </c>
      <c r="F313">
        <v>3.09</v>
      </c>
      <c r="G313">
        <v>6</v>
      </c>
      <c r="H313">
        <v>68.2</v>
      </c>
      <c r="I313">
        <v>0.98</v>
      </c>
      <c r="J313" t="s">
        <v>18</v>
      </c>
      <c r="K313">
        <v>10</v>
      </c>
      <c r="L313">
        <v>69</v>
      </c>
      <c r="M313">
        <v>0.65</v>
      </c>
      <c r="N313">
        <v>14</v>
      </c>
      <c r="O313">
        <v>0.76</v>
      </c>
      <c r="P313" t="s">
        <v>41</v>
      </c>
    </row>
    <row r="314" spans="1:16" x14ac:dyDescent="0.35">
      <c r="A314" t="s">
        <v>340</v>
      </c>
      <c r="B314">
        <v>313</v>
      </c>
      <c r="C314">
        <v>21</v>
      </c>
      <c r="D314" t="s">
        <v>16</v>
      </c>
      <c r="E314" t="s">
        <v>30</v>
      </c>
      <c r="F314">
        <v>2.41</v>
      </c>
      <c r="G314">
        <v>4</v>
      </c>
      <c r="H314">
        <v>91.9</v>
      </c>
      <c r="I314">
        <v>0.67</v>
      </c>
      <c r="J314" t="s">
        <v>28</v>
      </c>
      <c r="K314">
        <v>4</v>
      </c>
      <c r="L314">
        <v>82</v>
      </c>
      <c r="M314">
        <v>0.99</v>
      </c>
      <c r="N314">
        <v>5</v>
      </c>
      <c r="O314">
        <v>0.99</v>
      </c>
      <c r="P314" t="s">
        <v>19</v>
      </c>
    </row>
    <row r="315" spans="1:16" x14ac:dyDescent="0.35">
      <c r="A315" t="s">
        <v>341</v>
      </c>
      <c r="B315">
        <v>314</v>
      </c>
      <c r="C315">
        <v>24</v>
      </c>
      <c r="D315" t="s">
        <v>16</v>
      </c>
      <c r="E315" t="s">
        <v>17</v>
      </c>
      <c r="F315">
        <v>2.5099999999999998</v>
      </c>
      <c r="G315">
        <v>4</v>
      </c>
      <c r="H315">
        <v>89.5</v>
      </c>
      <c r="I315">
        <v>0.65</v>
      </c>
      <c r="J315" t="s">
        <v>23</v>
      </c>
      <c r="K315">
        <v>4</v>
      </c>
      <c r="L315">
        <v>64</v>
      </c>
      <c r="M315">
        <v>0.85</v>
      </c>
      <c r="N315">
        <v>17</v>
      </c>
      <c r="O315">
        <v>0.53</v>
      </c>
      <c r="P315" t="s">
        <v>19</v>
      </c>
    </row>
    <row r="316" spans="1:16" x14ac:dyDescent="0.35">
      <c r="A316" t="s">
        <v>342</v>
      </c>
      <c r="B316">
        <v>315</v>
      </c>
      <c r="C316">
        <v>20</v>
      </c>
      <c r="D316" t="s">
        <v>21</v>
      </c>
      <c r="E316" t="s">
        <v>46</v>
      </c>
      <c r="F316">
        <v>2.59</v>
      </c>
      <c r="G316">
        <v>6</v>
      </c>
      <c r="H316">
        <v>62.6</v>
      </c>
      <c r="I316">
        <v>0.83</v>
      </c>
      <c r="J316" t="s">
        <v>28</v>
      </c>
      <c r="K316">
        <v>13</v>
      </c>
      <c r="L316">
        <v>89</v>
      </c>
      <c r="M316">
        <v>0.86</v>
      </c>
      <c r="N316">
        <v>19</v>
      </c>
      <c r="O316">
        <v>0.74</v>
      </c>
      <c r="P316" t="s">
        <v>24</v>
      </c>
    </row>
    <row r="317" spans="1:16" x14ac:dyDescent="0.35">
      <c r="A317" t="s">
        <v>343</v>
      </c>
      <c r="B317">
        <v>316</v>
      </c>
      <c r="C317">
        <v>25</v>
      </c>
      <c r="D317" t="s">
        <v>32</v>
      </c>
      <c r="E317" t="s">
        <v>30</v>
      </c>
      <c r="F317">
        <v>3.19</v>
      </c>
      <c r="G317">
        <v>5</v>
      </c>
      <c r="H317">
        <v>75.5</v>
      </c>
      <c r="I317">
        <v>0.94</v>
      </c>
      <c r="J317" t="s">
        <v>28</v>
      </c>
      <c r="K317">
        <v>25</v>
      </c>
      <c r="L317">
        <v>72</v>
      </c>
      <c r="M317">
        <v>0.55000000000000004</v>
      </c>
      <c r="N317">
        <v>8</v>
      </c>
      <c r="O317">
        <v>0.89</v>
      </c>
      <c r="P317" t="s">
        <v>41</v>
      </c>
    </row>
    <row r="318" spans="1:16" x14ac:dyDescent="0.35">
      <c r="A318" t="s">
        <v>344</v>
      </c>
      <c r="B318">
        <v>317</v>
      </c>
      <c r="C318">
        <v>20</v>
      </c>
      <c r="D318" t="s">
        <v>16</v>
      </c>
      <c r="E318" t="s">
        <v>22</v>
      </c>
      <c r="F318">
        <v>2.0699999999999998</v>
      </c>
      <c r="G318">
        <v>3</v>
      </c>
      <c r="H318">
        <v>71.3</v>
      </c>
      <c r="I318">
        <v>0.79</v>
      </c>
      <c r="J318" t="s">
        <v>18</v>
      </c>
      <c r="K318">
        <v>7</v>
      </c>
      <c r="L318">
        <v>65</v>
      </c>
      <c r="M318">
        <v>0.87</v>
      </c>
      <c r="N318">
        <v>7</v>
      </c>
      <c r="O318">
        <v>0.57999999999999996</v>
      </c>
      <c r="P318" t="s">
        <v>19</v>
      </c>
    </row>
    <row r="319" spans="1:16" x14ac:dyDescent="0.35">
      <c r="A319" t="s">
        <v>345</v>
      </c>
      <c r="B319">
        <v>318</v>
      </c>
      <c r="C319">
        <v>18</v>
      </c>
      <c r="D319" t="s">
        <v>21</v>
      </c>
      <c r="E319" t="s">
        <v>17</v>
      </c>
      <c r="F319">
        <v>3.27</v>
      </c>
      <c r="G319">
        <v>4</v>
      </c>
      <c r="H319">
        <v>72.2</v>
      </c>
      <c r="I319">
        <v>1</v>
      </c>
      <c r="J319" t="s">
        <v>18</v>
      </c>
      <c r="K319">
        <v>4</v>
      </c>
      <c r="L319">
        <v>64</v>
      </c>
      <c r="M319">
        <v>0.87</v>
      </c>
      <c r="N319">
        <v>13</v>
      </c>
      <c r="O319">
        <v>0.81</v>
      </c>
      <c r="P319" t="s">
        <v>41</v>
      </c>
    </row>
    <row r="320" spans="1:16" x14ac:dyDescent="0.35">
      <c r="A320" t="s">
        <v>346</v>
      </c>
      <c r="B320">
        <v>319</v>
      </c>
      <c r="C320">
        <v>24</v>
      </c>
      <c r="D320" t="s">
        <v>16</v>
      </c>
      <c r="E320" t="s">
        <v>30</v>
      </c>
      <c r="F320">
        <v>2.73</v>
      </c>
      <c r="G320">
        <v>5</v>
      </c>
      <c r="H320">
        <v>99.3</v>
      </c>
      <c r="I320">
        <v>0.87</v>
      </c>
      <c r="J320" t="s">
        <v>28</v>
      </c>
      <c r="K320">
        <v>6</v>
      </c>
      <c r="L320">
        <v>34</v>
      </c>
      <c r="M320">
        <v>0.83</v>
      </c>
      <c r="N320">
        <v>18</v>
      </c>
      <c r="O320">
        <v>0.62</v>
      </c>
      <c r="P320" t="s">
        <v>24</v>
      </c>
    </row>
    <row r="321" spans="1:16" x14ac:dyDescent="0.35">
      <c r="A321" t="s">
        <v>347</v>
      </c>
      <c r="B321">
        <v>320</v>
      </c>
      <c r="C321">
        <v>23</v>
      </c>
      <c r="D321" t="s">
        <v>32</v>
      </c>
      <c r="E321" t="s">
        <v>22</v>
      </c>
      <c r="F321">
        <v>2.59</v>
      </c>
      <c r="G321">
        <v>4</v>
      </c>
      <c r="H321">
        <v>85.7</v>
      </c>
      <c r="I321">
        <v>0.63</v>
      </c>
      <c r="J321" t="s">
        <v>28</v>
      </c>
      <c r="K321">
        <v>15</v>
      </c>
      <c r="L321">
        <v>35</v>
      </c>
      <c r="M321">
        <v>0.61</v>
      </c>
      <c r="N321">
        <v>18</v>
      </c>
      <c r="O321">
        <v>0.93</v>
      </c>
      <c r="P321" t="s">
        <v>19</v>
      </c>
    </row>
    <row r="322" spans="1:16" x14ac:dyDescent="0.35">
      <c r="A322" t="s">
        <v>348</v>
      </c>
      <c r="B322">
        <v>321</v>
      </c>
      <c r="C322">
        <v>25</v>
      </c>
      <c r="D322" t="s">
        <v>21</v>
      </c>
      <c r="E322" t="s">
        <v>30</v>
      </c>
      <c r="F322">
        <v>3.76</v>
      </c>
      <c r="G322">
        <v>3</v>
      </c>
      <c r="H322">
        <v>88.7</v>
      </c>
      <c r="I322">
        <v>1</v>
      </c>
      <c r="J322" t="s">
        <v>18</v>
      </c>
      <c r="K322">
        <v>13</v>
      </c>
      <c r="L322">
        <v>58</v>
      </c>
      <c r="M322">
        <v>0.71</v>
      </c>
      <c r="N322">
        <v>7</v>
      </c>
      <c r="O322">
        <v>0.66</v>
      </c>
      <c r="P322" t="s">
        <v>41</v>
      </c>
    </row>
    <row r="323" spans="1:16" x14ac:dyDescent="0.35">
      <c r="A323" t="s">
        <v>349</v>
      </c>
      <c r="B323">
        <v>322</v>
      </c>
      <c r="C323">
        <v>22</v>
      </c>
      <c r="D323" t="s">
        <v>32</v>
      </c>
      <c r="E323" t="s">
        <v>30</v>
      </c>
      <c r="F323">
        <v>2.92</v>
      </c>
      <c r="G323">
        <v>4</v>
      </c>
      <c r="H323">
        <v>99.1</v>
      </c>
      <c r="I323">
        <v>0.76</v>
      </c>
      <c r="J323" t="s">
        <v>18</v>
      </c>
      <c r="K323">
        <v>36</v>
      </c>
      <c r="L323">
        <v>72</v>
      </c>
      <c r="M323">
        <v>0.92</v>
      </c>
      <c r="N323">
        <v>1</v>
      </c>
      <c r="O323">
        <v>0.66</v>
      </c>
      <c r="P323" t="s">
        <v>24</v>
      </c>
    </row>
    <row r="324" spans="1:16" x14ac:dyDescent="0.35">
      <c r="A324" t="s">
        <v>350</v>
      </c>
      <c r="B324">
        <v>323</v>
      </c>
      <c r="C324">
        <v>21</v>
      </c>
      <c r="D324" t="s">
        <v>32</v>
      </c>
      <c r="E324" t="s">
        <v>30</v>
      </c>
      <c r="F324">
        <v>2.19</v>
      </c>
      <c r="G324">
        <v>3</v>
      </c>
      <c r="H324">
        <v>75.099999999999994</v>
      </c>
      <c r="I324">
        <v>0.71</v>
      </c>
      <c r="J324" t="s">
        <v>28</v>
      </c>
      <c r="K324">
        <v>3</v>
      </c>
      <c r="L324">
        <v>54</v>
      </c>
      <c r="M324">
        <v>0.84</v>
      </c>
      <c r="N324">
        <v>3</v>
      </c>
      <c r="O324">
        <v>0.8</v>
      </c>
      <c r="P324" t="s">
        <v>19</v>
      </c>
    </row>
    <row r="325" spans="1:16" x14ac:dyDescent="0.35">
      <c r="A325" t="s">
        <v>351</v>
      </c>
      <c r="B325">
        <v>324</v>
      </c>
      <c r="C325">
        <v>19</v>
      </c>
      <c r="D325" t="s">
        <v>21</v>
      </c>
      <c r="E325" t="s">
        <v>17</v>
      </c>
      <c r="F325">
        <v>3.65</v>
      </c>
      <c r="G325">
        <v>3</v>
      </c>
      <c r="H325">
        <v>92.1</v>
      </c>
      <c r="I325">
        <v>0.82</v>
      </c>
      <c r="J325" t="s">
        <v>18</v>
      </c>
      <c r="K325">
        <v>35</v>
      </c>
      <c r="L325">
        <v>82</v>
      </c>
      <c r="M325">
        <v>0.87</v>
      </c>
      <c r="N325">
        <v>5</v>
      </c>
      <c r="O325">
        <v>0.59</v>
      </c>
      <c r="P325" t="s">
        <v>24</v>
      </c>
    </row>
    <row r="326" spans="1:16" x14ac:dyDescent="0.35">
      <c r="A326" t="s">
        <v>352</v>
      </c>
      <c r="B326">
        <v>325</v>
      </c>
      <c r="C326">
        <v>23</v>
      </c>
      <c r="D326" t="s">
        <v>21</v>
      </c>
      <c r="E326" t="s">
        <v>22</v>
      </c>
      <c r="F326">
        <v>2.1</v>
      </c>
      <c r="G326">
        <v>4</v>
      </c>
      <c r="H326">
        <v>77.400000000000006</v>
      </c>
      <c r="I326">
        <v>0.72</v>
      </c>
      <c r="J326" t="s">
        <v>18</v>
      </c>
      <c r="K326">
        <v>16</v>
      </c>
      <c r="L326">
        <v>88</v>
      </c>
      <c r="M326">
        <v>0.79</v>
      </c>
      <c r="N326">
        <v>2</v>
      </c>
      <c r="O326">
        <v>0.64</v>
      </c>
      <c r="P326" t="s">
        <v>19</v>
      </c>
    </row>
    <row r="327" spans="1:16" x14ac:dyDescent="0.35">
      <c r="A327" t="s">
        <v>353</v>
      </c>
      <c r="B327">
        <v>326</v>
      </c>
      <c r="C327">
        <v>23</v>
      </c>
      <c r="D327" t="s">
        <v>21</v>
      </c>
      <c r="E327" t="s">
        <v>46</v>
      </c>
      <c r="F327">
        <v>3.45</v>
      </c>
      <c r="G327">
        <v>4</v>
      </c>
      <c r="H327">
        <v>94.8</v>
      </c>
      <c r="I327">
        <v>0.63</v>
      </c>
      <c r="J327" t="s">
        <v>28</v>
      </c>
      <c r="K327">
        <v>35</v>
      </c>
      <c r="L327">
        <v>48</v>
      </c>
      <c r="M327">
        <v>0.72</v>
      </c>
      <c r="N327">
        <v>2</v>
      </c>
      <c r="O327">
        <v>0.71</v>
      </c>
      <c r="P327" t="s">
        <v>19</v>
      </c>
    </row>
    <row r="328" spans="1:16" x14ac:dyDescent="0.35">
      <c r="A328" t="s">
        <v>354</v>
      </c>
      <c r="B328">
        <v>327</v>
      </c>
      <c r="C328">
        <v>20</v>
      </c>
      <c r="D328" t="s">
        <v>21</v>
      </c>
      <c r="E328" t="s">
        <v>17</v>
      </c>
      <c r="F328">
        <v>3.55</v>
      </c>
      <c r="G328">
        <v>3</v>
      </c>
      <c r="H328">
        <v>67.2</v>
      </c>
      <c r="I328">
        <v>0.6</v>
      </c>
      <c r="J328" t="s">
        <v>28</v>
      </c>
      <c r="K328">
        <v>5</v>
      </c>
      <c r="L328">
        <v>74</v>
      </c>
      <c r="M328">
        <v>0.88</v>
      </c>
      <c r="N328">
        <v>18</v>
      </c>
      <c r="O328">
        <v>0.68</v>
      </c>
      <c r="P328" t="s">
        <v>19</v>
      </c>
    </row>
    <row r="329" spans="1:16" x14ac:dyDescent="0.35">
      <c r="A329" t="s">
        <v>355</v>
      </c>
      <c r="B329">
        <v>328</v>
      </c>
      <c r="C329">
        <v>24</v>
      </c>
      <c r="D329" t="s">
        <v>21</v>
      </c>
      <c r="E329" t="s">
        <v>17</v>
      </c>
      <c r="F329">
        <v>2.71</v>
      </c>
      <c r="G329">
        <v>5</v>
      </c>
      <c r="H329">
        <v>97.9</v>
      </c>
      <c r="I329">
        <v>0.78</v>
      </c>
      <c r="J329" t="s">
        <v>23</v>
      </c>
      <c r="K329">
        <v>15</v>
      </c>
      <c r="L329">
        <v>78</v>
      </c>
      <c r="M329">
        <v>0.53</v>
      </c>
      <c r="N329">
        <v>10</v>
      </c>
      <c r="O329">
        <v>0.76</v>
      </c>
      <c r="P329" t="s">
        <v>24</v>
      </c>
    </row>
    <row r="330" spans="1:16" x14ac:dyDescent="0.35">
      <c r="A330" t="s">
        <v>356</v>
      </c>
      <c r="B330">
        <v>329</v>
      </c>
      <c r="C330">
        <v>25</v>
      </c>
      <c r="D330" t="s">
        <v>21</v>
      </c>
      <c r="E330" t="s">
        <v>17</v>
      </c>
      <c r="F330">
        <v>3.65</v>
      </c>
      <c r="G330">
        <v>6</v>
      </c>
      <c r="H330">
        <v>68.8</v>
      </c>
      <c r="I330">
        <v>0.93</v>
      </c>
      <c r="J330" t="s">
        <v>28</v>
      </c>
      <c r="K330">
        <v>28</v>
      </c>
      <c r="L330">
        <v>65</v>
      </c>
      <c r="M330">
        <v>0.84</v>
      </c>
      <c r="N330">
        <v>9</v>
      </c>
      <c r="O330">
        <v>0.8</v>
      </c>
      <c r="P330" t="s">
        <v>41</v>
      </c>
    </row>
    <row r="331" spans="1:16" x14ac:dyDescent="0.35">
      <c r="A331" t="s">
        <v>357</v>
      </c>
      <c r="B331">
        <v>330</v>
      </c>
      <c r="C331">
        <v>25</v>
      </c>
      <c r="D331" t="s">
        <v>21</v>
      </c>
      <c r="E331" t="s">
        <v>46</v>
      </c>
      <c r="F331">
        <v>3.03</v>
      </c>
      <c r="G331">
        <v>3</v>
      </c>
      <c r="H331">
        <v>73</v>
      </c>
      <c r="I331">
        <v>0.83</v>
      </c>
      <c r="J331" t="s">
        <v>18</v>
      </c>
      <c r="K331">
        <v>35</v>
      </c>
      <c r="L331">
        <v>18</v>
      </c>
      <c r="M331">
        <v>1</v>
      </c>
      <c r="N331">
        <v>11</v>
      </c>
      <c r="O331">
        <v>0.78</v>
      </c>
      <c r="P331" t="s">
        <v>24</v>
      </c>
    </row>
    <row r="332" spans="1:16" x14ac:dyDescent="0.35">
      <c r="A332" t="s">
        <v>358</v>
      </c>
      <c r="B332">
        <v>331</v>
      </c>
      <c r="C332">
        <v>18</v>
      </c>
      <c r="D332" t="s">
        <v>16</v>
      </c>
      <c r="E332" t="s">
        <v>22</v>
      </c>
      <c r="F332">
        <v>2.93</v>
      </c>
      <c r="G332">
        <v>4</v>
      </c>
      <c r="H332">
        <v>90.2</v>
      </c>
      <c r="I332">
        <v>1</v>
      </c>
      <c r="J332" t="s">
        <v>28</v>
      </c>
      <c r="K332">
        <v>37</v>
      </c>
      <c r="L332">
        <v>79</v>
      </c>
      <c r="M332">
        <v>0.89</v>
      </c>
      <c r="N332">
        <v>13</v>
      </c>
      <c r="O332">
        <v>0.83</v>
      </c>
      <c r="P332" t="s">
        <v>24</v>
      </c>
    </row>
    <row r="333" spans="1:16" x14ac:dyDescent="0.35">
      <c r="A333" t="s">
        <v>359</v>
      </c>
      <c r="B333">
        <v>332</v>
      </c>
      <c r="C333">
        <v>18</v>
      </c>
      <c r="D333" t="s">
        <v>32</v>
      </c>
      <c r="E333" t="s">
        <v>22</v>
      </c>
      <c r="F333">
        <v>2.09</v>
      </c>
      <c r="G333">
        <v>4</v>
      </c>
      <c r="H333">
        <v>75.8</v>
      </c>
      <c r="I333">
        <v>0.71</v>
      </c>
      <c r="J333" t="s">
        <v>28</v>
      </c>
      <c r="K333">
        <v>36</v>
      </c>
      <c r="L333">
        <v>37</v>
      </c>
      <c r="M333">
        <v>0.65</v>
      </c>
      <c r="N333">
        <v>17</v>
      </c>
      <c r="O333">
        <v>0.65</v>
      </c>
      <c r="P333" t="s">
        <v>19</v>
      </c>
    </row>
    <row r="334" spans="1:16" x14ac:dyDescent="0.35">
      <c r="A334" t="s">
        <v>360</v>
      </c>
      <c r="B334">
        <v>333</v>
      </c>
      <c r="C334">
        <v>21</v>
      </c>
      <c r="D334" t="s">
        <v>21</v>
      </c>
      <c r="E334" t="s">
        <v>22</v>
      </c>
      <c r="F334">
        <v>2.58</v>
      </c>
      <c r="G334">
        <v>5</v>
      </c>
      <c r="H334">
        <v>84.3</v>
      </c>
      <c r="I334">
        <v>0.71</v>
      </c>
      <c r="J334" t="s">
        <v>28</v>
      </c>
      <c r="K334">
        <v>9</v>
      </c>
      <c r="L334">
        <v>54</v>
      </c>
      <c r="M334">
        <v>0.64</v>
      </c>
      <c r="N334">
        <v>8</v>
      </c>
      <c r="O334">
        <v>0.56000000000000005</v>
      </c>
      <c r="P334" t="s">
        <v>19</v>
      </c>
    </row>
    <row r="335" spans="1:16" x14ac:dyDescent="0.35">
      <c r="A335" t="s">
        <v>361</v>
      </c>
      <c r="B335">
        <v>334</v>
      </c>
      <c r="C335">
        <v>20</v>
      </c>
      <c r="D335" t="s">
        <v>16</v>
      </c>
      <c r="E335" t="s">
        <v>30</v>
      </c>
      <c r="F335">
        <v>3.86</v>
      </c>
      <c r="G335">
        <v>6</v>
      </c>
      <c r="H335">
        <v>77.8</v>
      </c>
      <c r="I335">
        <v>0.66</v>
      </c>
      <c r="J335" t="s">
        <v>23</v>
      </c>
      <c r="K335">
        <v>35</v>
      </c>
      <c r="L335">
        <v>35</v>
      </c>
      <c r="M335">
        <v>0.83</v>
      </c>
      <c r="N335">
        <v>14</v>
      </c>
      <c r="O335">
        <v>0.88</v>
      </c>
      <c r="P335" t="s">
        <v>19</v>
      </c>
    </row>
    <row r="336" spans="1:16" x14ac:dyDescent="0.35">
      <c r="A336" t="s">
        <v>362</v>
      </c>
      <c r="B336">
        <v>335</v>
      </c>
      <c r="C336">
        <v>23</v>
      </c>
      <c r="D336" t="s">
        <v>16</v>
      </c>
      <c r="E336" t="s">
        <v>30</v>
      </c>
      <c r="F336">
        <v>2.78</v>
      </c>
      <c r="G336">
        <v>3</v>
      </c>
      <c r="H336">
        <v>89.7</v>
      </c>
      <c r="I336">
        <v>0.67</v>
      </c>
      <c r="J336" t="s">
        <v>23</v>
      </c>
      <c r="K336">
        <v>28</v>
      </c>
      <c r="L336">
        <v>37</v>
      </c>
      <c r="M336">
        <v>0.95</v>
      </c>
      <c r="N336">
        <v>2</v>
      </c>
      <c r="O336">
        <v>0.93</v>
      </c>
      <c r="P336" t="s">
        <v>19</v>
      </c>
    </row>
    <row r="337" spans="1:16" x14ac:dyDescent="0.35">
      <c r="A337" t="s">
        <v>363</v>
      </c>
      <c r="B337">
        <v>336</v>
      </c>
      <c r="C337">
        <v>25</v>
      </c>
      <c r="D337" t="s">
        <v>16</v>
      </c>
      <c r="E337" t="s">
        <v>30</v>
      </c>
      <c r="F337">
        <v>3.09</v>
      </c>
      <c r="G337">
        <v>3</v>
      </c>
      <c r="H337">
        <v>69.099999999999994</v>
      </c>
      <c r="I337">
        <v>0.71</v>
      </c>
      <c r="J337" t="s">
        <v>18</v>
      </c>
      <c r="K337">
        <v>13</v>
      </c>
      <c r="L337">
        <v>49</v>
      </c>
      <c r="M337">
        <v>0.79</v>
      </c>
      <c r="N337">
        <v>10</v>
      </c>
      <c r="O337">
        <v>0.63</v>
      </c>
      <c r="P337" t="s">
        <v>19</v>
      </c>
    </row>
    <row r="338" spans="1:16" x14ac:dyDescent="0.35">
      <c r="A338" t="s">
        <v>364</v>
      </c>
      <c r="B338">
        <v>337</v>
      </c>
      <c r="C338">
        <v>22</v>
      </c>
      <c r="D338" t="s">
        <v>32</v>
      </c>
      <c r="E338" t="s">
        <v>46</v>
      </c>
      <c r="F338">
        <v>3.06</v>
      </c>
      <c r="G338">
        <v>6</v>
      </c>
      <c r="H338">
        <v>62.3</v>
      </c>
      <c r="I338">
        <v>0.92</v>
      </c>
      <c r="J338" t="s">
        <v>23</v>
      </c>
      <c r="K338">
        <v>3</v>
      </c>
      <c r="L338">
        <v>24</v>
      </c>
      <c r="M338">
        <v>0.76</v>
      </c>
      <c r="N338">
        <v>9</v>
      </c>
      <c r="O338">
        <v>0.7</v>
      </c>
      <c r="P338" t="s">
        <v>41</v>
      </c>
    </row>
    <row r="339" spans="1:16" x14ac:dyDescent="0.35">
      <c r="A339" t="s">
        <v>365</v>
      </c>
      <c r="B339">
        <v>338</v>
      </c>
      <c r="C339">
        <v>20</v>
      </c>
      <c r="D339" t="s">
        <v>21</v>
      </c>
      <c r="E339" t="s">
        <v>30</v>
      </c>
      <c r="F339">
        <v>3.18</v>
      </c>
      <c r="G339">
        <v>3</v>
      </c>
      <c r="H339">
        <v>72</v>
      </c>
      <c r="I339">
        <v>0.96</v>
      </c>
      <c r="J339" t="s">
        <v>28</v>
      </c>
      <c r="K339">
        <v>35</v>
      </c>
      <c r="L339">
        <v>15</v>
      </c>
      <c r="M339">
        <v>0.57999999999999996</v>
      </c>
      <c r="N339">
        <v>17</v>
      </c>
      <c r="O339">
        <v>0.75</v>
      </c>
      <c r="P339" t="s">
        <v>41</v>
      </c>
    </row>
    <row r="340" spans="1:16" x14ac:dyDescent="0.35">
      <c r="A340" t="s">
        <v>366</v>
      </c>
      <c r="B340">
        <v>339</v>
      </c>
      <c r="C340">
        <v>21</v>
      </c>
      <c r="D340" t="s">
        <v>16</v>
      </c>
      <c r="E340" t="s">
        <v>46</v>
      </c>
      <c r="F340">
        <v>2.12</v>
      </c>
      <c r="G340">
        <v>6</v>
      </c>
      <c r="H340">
        <v>79</v>
      </c>
      <c r="I340">
        <v>0.99</v>
      </c>
      <c r="J340" t="s">
        <v>23</v>
      </c>
      <c r="K340">
        <v>12</v>
      </c>
      <c r="L340">
        <v>36</v>
      </c>
      <c r="M340">
        <v>0.86</v>
      </c>
      <c r="N340">
        <v>3</v>
      </c>
      <c r="O340">
        <v>0.77</v>
      </c>
      <c r="P340" t="s">
        <v>19</v>
      </c>
    </row>
    <row r="341" spans="1:16" x14ac:dyDescent="0.35">
      <c r="A341" t="s">
        <v>367</v>
      </c>
      <c r="B341">
        <v>340</v>
      </c>
      <c r="C341">
        <v>21</v>
      </c>
      <c r="D341" t="s">
        <v>32</v>
      </c>
      <c r="E341" t="s">
        <v>22</v>
      </c>
      <c r="F341">
        <v>2.72</v>
      </c>
      <c r="G341">
        <v>4</v>
      </c>
      <c r="H341">
        <v>66.7</v>
      </c>
      <c r="I341">
        <v>0.69</v>
      </c>
      <c r="J341" t="s">
        <v>28</v>
      </c>
      <c r="K341">
        <v>17</v>
      </c>
      <c r="L341">
        <v>47</v>
      </c>
      <c r="M341">
        <v>0.85</v>
      </c>
      <c r="N341">
        <v>12</v>
      </c>
      <c r="O341">
        <v>0.83</v>
      </c>
      <c r="P341" t="s">
        <v>19</v>
      </c>
    </row>
    <row r="342" spans="1:16" x14ac:dyDescent="0.35">
      <c r="A342" t="s">
        <v>368</v>
      </c>
      <c r="B342">
        <v>341</v>
      </c>
      <c r="C342">
        <v>20</v>
      </c>
      <c r="D342" t="s">
        <v>32</v>
      </c>
      <c r="E342" t="s">
        <v>30</v>
      </c>
      <c r="F342">
        <v>3.45</v>
      </c>
      <c r="G342">
        <v>6</v>
      </c>
      <c r="H342">
        <v>74.2</v>
      </c>
      <c r="I342">
        <v>0.95</v>
      </c>
      <c r="J342" t="s">
        <v>23</v>
      </c>
      <c r="K342">
        <v>32</v>
      </c>
      <c r="L342">
        <v>77</v>
      </c>
      <c r="M342">
        <v>0.98</v>
      </c>
      <c r="N342">
        <v>5</v>
      </c>
      <c r="O342">
        <v>0.52</v>
      </c>
      <c r="P342" t="s">
        <v>41</v>
      </c>
    </row>
    <row r="343" spans="1:16" x14ac:dyDescent="0.35">
      <c r="A343" t="s">
        <v>369</v>
      </c>
      <c r="B343">
        <v>342</v>
      </c>
      <c r="C343">
        <v>21</v>
      </c>
      <c r="D343" t="s">
        <v>32</v>
      </c>
      <c r="E343" t="s">
        <v>30</v>
      </c>
      <c r="F343">
        <v>2.4</v>
      </c>
      <c r="G343">
        <v>3</v>
      </c>
      <c r="H343">
        <v>76</v>
      </c>
      <c r="I343">
        <v>0.73</v>
      </c>
      <c r="J343" t="s">
        <v>23</v>
      </c>
      <c r="K343">
        <v>20</v>
      </c>
      <c r="L343">
        <v>84</v>
      </c>
      <c r="M343">
        <v>0.65</v>
      </c>
      <c r="N343">
        <v>12</v>
      </c>
      <c r="O343">
        <v>0.86</v>
      </c>
      <c r="P343" t="s">
        <v>19</v>
      </c>
    </row>
    <row r="344" spans="1:16" x14ac:dyDescent="0.35">
      <c r="A344" t="s">
        <v>370</v>
      </c>
      <c r="B344">
        <v>343</v>
      </c>
      <c r="C344">
        <v>20</v>
      </c>
      <c r="D344" t="s">
        <v>16</v>
      </c>
      <c r="E344" t="s">
        <v>17</v>
      </c>
      <c r="F344">
        <v>2.41</v>
      </c>
      <c r="G344">
        <v>6</v>
      </c>
      <c r="H344">
        <v>62.3</v>
      </c>
      <c r="I344">
        <v>0.65</v>
      </c>
      <c r="J344" t="s">
        <v>23</v>
      </c>
      <c r="K344">
        <v>15</v>
      </c>
      <c r="L344">
        <v>73</v>
      </c>
      <c r="M344">
        <v>0.88</v>
      </c>
      <c r="N344">
        <v>19</v>
      </c>
      <c r="O344">
        <v>0.53</v>
      </c>
      <c r="P344" t="s">
        <v>19</v>
      </c>
    </row>
    <row r="345" spans="1:16" x14ac:dyDescent="0.35">
      <c r="A345" t="s">
        <v>371</v>
      </c>
      <c r="B345">
        <v>344</v>
      </c>
      <c r="C345">
        <v>19</v>
      </c>
      <c r="D345" t="s">
        <v>21</v>
      </c>
      <c r="E345" t="s">
        <v>46</v>
      </c>
      <c r="F345">
        <v>2.02</v>
      </c>
      <c r="G345">
        <v>5</v>
      </c>
      <c r="H345">
        <v>83.3</v>
      </c>
      <c r="I345">
        <v>0.95</v>
      </c>
      <c r="J345" t="s">
        <v>28</v>
      </c>
      <c r="K345">
        <v>14</v>
      </c>
      <c r="L345">
        <v>39</v>
      </c>
      <c r="M345">
        <v>0.72</v>
      </c>
      <c r="N345">
        <v>4</v>
      </c>
      <c r="O345">
        <v>0.73</v>
      </c>
      <c r="P345" t="s">
        <v>19</v>
      </c>
    </row>
    <row r="346" spans="1:16" x14ac:dyDescent="0.35">
      <c r="A346" t="s">
        <v>372</v>
      </c>
      <c r="B346">
        <v>345</v>
      </c>
      <c r="C346">
        <v>20</v>
      </c>
      <c r="D346" t="s">
        <v>16</v>
      </c>
      <c r="E346" t="s">
        <v>22</v>
      </c>
      <c r="F346">
        <v>2.87</v>
      </c>
      <c r="G346">
        <v>4</v>
      </c>
      <c r="H346">
        <v>95.4</v>
      </c>
      <c r="I346">
        <v>0.85</v>
      </c>
      <c r="J346" t="s">
        <v>23</v>
      </c>
      <c r="K346">
        <v>4</v>
      </c>
      <c r="L346">
        <v>12</v>
      </c>
      <c r="M346">
        <v>0.78</v>
      </c>
      <c r="N346">
        <v>19</v>
      </c>
      <c r="O346">
        <v>0.91</v>
      </c>
      <c r="P346" t="s">
        <v>24</v>
      </c>
    </row>
    <row r="347" spans="1:16" x14ac:dyDescent="0.35">
      <c r="A347" t="s">
        <v>373</v>
      </c>
      <c r="B347">
        <v>346</v>
      </c>
      <c r="C347">
        <v>24</v>
      </c>
      <c r="D347" t="s">
        <v>16</v>
      </c>
      <c r="E347" t="s">
        <v>17</v>
      </c>
      <c r="F347">
        <v>3.77</v>
      </c>
      <c r="G347">
        <v>4</v>
      </c>
      <c r="H347">
        <v>66.099999999999994</v>
      </c>
      <c r="I347">
        <v>0.67</v>
      </c>
      <c r="J347" t="s">
        <v>28</v>
      </c>
      <c r="K347">
        <v>5</v>
      </c>
      <c r="L347">
        <v>71</v>
      </c>
      <c r="M347">
        <v>0.91</v>
      </c>
      <c r="N347">
        <v>13</v>
      </c>
      <c r="O347">
        <v>0.73</v>
      </c>
      <c r="P347" t="s">
        <v>19</v>
      </c>
    </row>
    <row r="348" spans="1:16" x14ac:dyDescent="0.35">
      <c r="A348" t="s">
        <v>374</v>
      </c>
      <c r="B348">
        <v>347</v>
      </c>
      <c r="C348">
        <v>20</v>
      </c>
      <c r="D348" t="s">
        <v>21</v>
      </c>
      <c r="E348" t="s">
        <v>17</v>
      </c>
      <c r="F348">
        <v>2.1</v>
      </c>
      <c r="G348">
        <v>6</v>
      </c>
      <c r="H348">
        <v>83.9</v>
      </c>
      <c r="I348">
        <v>0.77</v>
      </c>
      <c r="J348" t="s">
        <v>28</v>
      </c>
      <c r="K348">
        <v>37</v>
      </c>
      <c r="L348">
        <v>21</v>
      </c>
      <c r="M348">
        <v>0.61</v>
      </c>
      <c r="N348">
        <v>12</v>
      </c>
      <c r="O348">
        <v>0.56999999999999995</v>
      </c>
      <c r="P348" t="s">
        <v>19</v>
      </c>
    </row>
    <row r="349" spans="1:16" x14ac:dyDescent="0.35">
      <c r="A349" t="s">
        <v>375</v>
      </c>
      <c r="B349">
        <v>348</v>
      </c>
      <c r="C349">
        <v>21</v>
      </c>
      <c r="D349" t="s">
        <v>21</v>
      </c>
      <c r="E349" t="s">
        <v>22</v>
      </c>
      <c r="F349">
        <v>2.38</v>
      </c>
      <c r="G349">
        <v>3</v>
      </c>
      <c r="H349">
        <v>86.6</v>
      </c>
      <c r="I349">
        <v>0.71</v>
      </c>
      <c r="J349" t="s">
        <v>18</v>
      </c>
      <c r="K349">
        <v>2</v>
      </c>
      <c r="L349">
        <v>39</v>
      </c>
      <c r="M349">
        <v>0.67</v>
      </c>
      <c r="N349">
        <v>13</v>
      </c>
      <c r="O349">
        <v>0.99</v>
      </c>
      <c r="P349" t="s">
        <v>19</v>
      </c>
    </row>
    <row r="350" spans="1:16" x14ac:dyDescent="0.35">
      <c r="A350" t="s">
        <v>376</v>
      </c>
      <c r="B350">
        <v>349</v>
      </c>
      <c r="C350">
        <v>25</v>
      </c>
      <c r="D350" t="s">
        <v>21</v>
      </c>
      <c r="E350" t="s">
        <v>17</v>
      </c>
      <c r="F350">
        <v>2.62</v>
      </c>
      <c r="G350">
        <v>5</v>
      </c>
      <c r="H350">
        <v>76.8</v>
      </c>
      <c r="I350">
        <v>0.89</v>
      </c>
      <c r="J350" t="s">
        <v>23</v>
      </c>
      <c r="K350">
        <v>11</v>
      </c>
      <c r="L350">
        <v>47</v>
      </c>
      <c r="M350">
        <v>0.89</v>
      </c>
      <c r="N350">
        <v>7</v>
      </c>
      <c r="O350">
        <v>0.94</v>
      </c>
      <c r="P350" t="s">
        <v>24</v>
      </c>
    </row>
    <row r="351" spans="1:16" x14ac:dyDescent="0.35">
      <c r="A351" t="s">
        <v>377</v>
      </c>
      <c r="B351">
        <v>350</v>
      </c>
      <c r="C351">
        <v>24</v>
      </c>
      <c r="D351" t="s">
        <v>32</v>
      </c>
      <c r="E351" t="s">
        <v>46</v>
      </c>
      <c r="F351">
        <v>3.46</v>
      </c>
      <c r="G351">
        <v>4</v>
      </c>
      <c r="H351">
        <v>88</v>
      </c>
      <c r="I351">
        <v>0.78</v>
      </c>
      <c r="J351" t="s">
        <v>18</v>
      </c>
      <c r="K351">
        <v>35</v>
      </c>
      <c r="L351">
        <v>69</v>
      </c>
      <c r="M351">
        <v>0.79</v>
      </c>
      <c r="N351">
        <v>15</v>
      </c>
      <c r="O351">
        <v>0.89</v>
      </c>
      <c r="P351" t="s">
        <v>24</v>
      </c>
    </row>
    <row r="352" spans="1:16" x14ac:dyDescent="0.35">
      <c r="A352" t="s">
        <v>378</v>
      </c>
      <c r="B352">
        <v>351</v>
      </c>
      <c r="C352">
        <v>21</v>
      </c>
      <c r="D352" t="s">
        <v>21</v>
      </c>
      <c r="E352" t="s">
        <v>46</v>
      </c>
      <c r="F352">
        <v>3.28</v>
      </c>
      <c r="G352">
        <v>4</v>
      </c>
      <c r="H352">
        <v>76.400000000000006</v>
      </c>
      <c r="I352">
        <v>1</v>
      </c>
      <c r="J352" t="s">
        <v>18</v>
      </c>
      <c r="K352">
        <v>32</v>
      </c>
      <c r="L352">
        <v>47</v>
      </c>
      <c r="M352">
        <v>0.55000000000000004</v>
      </c>
      <c r="N352">
        <v>12</v>
      </c>
      <c r="O352">
        <v>0.71</v>
      </c>
      <c r="P352" t="s">
        <v>41</v>
      </c>
    </row>
    <row r="353" spans="1:16" x14ac:dyDescent="0.35">
      <c r="A353" t="s">
        <v>379</v>
      </c>
      <c r="B353">
        <v>352</v>
      </c>
      <c r="C353">
        <v>18</v>
      </c>
      <c r="D353" t="s">
        <v>16</v>
      </c>
      <c r="E353" t="s">
        <v>30</v>
      </c>
      <c r="F353">
        <v>2.83</v>
      </c>
      <c r="G353">
        <v>3</v>
      </c>
      <c r="H353">
        <v>80.2</v>
      </c>
      <c r="I353">
        <v>0.62</v>
      </c>
      <c r="J353" t="s">
        <v>28</v>
      </c>
      <c r="K353">
        <v>35</v>
      </c>
      <c r="L353">
        <v>24</v>
      </c>
      <c r="M353">
        <v>0.72</v>
      </c>
      <c r="N353">
        <v>14</v>
      </c>
      <c r="O353">
        <v>0.59</v>
      </c>
      <c r="P353" t="s">
        <v>19</v>
      </c>
    </row>
    <row r="354" spans="1:16" x14ac:dyDescent="0.35">
      <c r="A354" t="s">
        <v>380</v>
      </c>
      <c r="B354">
        <v>353</v>
      </c>
      <c r="C354">
        <v>18</v>
      </c>
      <c r="D354" t="s">
        <v>21</v>
      </c>
      <c r="E354" t="s">
        <v>17</v>
      </c>
      <c r="F354">
        <v>3.52</v>
      </c>
      <c r="G354">
        <v>3</v>
      </c>
      <c r="H354">
        <v>60.3</v>
      </c>
      <c r="I354">
        <v>0.74</v>
      </c>
      <c r="J354" t="s">
        <v>23</v>
      </c>
      <c r="K354">
        <v>32</v>
      </c>
      <c r="L354">
        <v>27</v>
      </c>
      <c r="M354">
        <v>0.79</v>
      </c>
      <c r="N354">
        <v>18</v>
      </c>
      <c r="O354">
        <v>0.97</v>
      </c>
      <c r="P354" t="s">
        <v>19</v>
      </c>
    </row>
    <row r="355" spans="1:16" x14ac:dyDescent="0.35">
      <c r="A355" t="s">
        <v>381</v>
      </c>
      <c r="B355">
        <v>354</v>
      </c>
      <c r="C355">
        <v>25</v>
      </c>
      <c r="D355" t="s">
        <v>16</v>
      </c>
      <c r="E355" t="s">
        <v>30</v>
      </c>
      <c r="F355">
        <v>3.22</v>
      </c>
      <c r="G355">
        <v>5</v>
      </c>
      <c r="H355">
        <v>87.7</v>
      </c>
      <c r="I355">
        <v>0.79</v>
      </c>
      <c r="J355" t="s">
        <v>28</v>
      </c>
      <c r="K355">
        <v>30</v>
      </c>
      <c r="L355">
        <v>61</v>
      </c>
      <c r="M355">
        <v>0.95</v>
      </c>
      <c r="N355">
        <v>0</v>
      </c>
      <c r="O355">
        <v>0.77</v>
      </c>
      <c r="P355" t="s">
        <v>24</v>
      </c>
    </row>
    <row r="356" spans="1:16" x14ac:dyDescent="0.35">
      <c r="A356" t="s">
        <v>382</v>
      </c>
      <c r="B356">
        <v>355</v>
      </c>
      <c r="C356">
        <v>25</v>
      </c>
      <c r="D356" t="s">
        <v>32</v>
      </c>
      <c r="E356" t="s">
        <v>17</v>
      </c>
      <c r="F356">
        <v>3.79</v>
      </c>
      <c r="G356">
        <v>6</v>
      </c>
      <c r="H356">
        <v>86.5</v>
      </c>
      <c r="I356">
        <v>0.8</v>
      </c>
      <c r="J356" t="s">
        <v>28</v>
      </c>
      <c r="K356">
        <v>20</v>
      </c>
      <c r="L356">
        <v>38</v>
      </c>
      <c r="M356">
        <v>0.59</v>
      </c>
      <c r="N356">
        <v>1</v>
      </c>
      <c r="O356">
        <v>0.93</v>
      </c>
      <c r="P356" t="s">
        <v>24</v>
      </c>
    </row>
    <row r="357" spans="1:16" x14ac:dyDescent="0.35">
      <c r="A357" t="s">
        <v>383</v>
      </c>
      <c r="B357">
        <v>356</v>
      </c>
      <c r="C357">
        <v>24</v>
      </c>
      <c r="D357" t="s">
        <v>16</v>
      </c>
      <c r="E357" t="s">
        <v>46</v>
      </c>
      <c r="F357">
        <v>3.64</v>
      </c>
      <c r="G357">
        <v>3</v>
      </c>
      <c r="H357">
        <v>61.5</v>
      </c>
      <c r="I357">
        <v>0.73</v>
      </c>
      <c r="J357" t="s">
        <v>23</v>
      </c>
      <c r="K357">
        <v>26</v>
      </c>
      <c r="L357">
        <v>69</v>
      </c>
      <c r="M357">
        <v>0.9</v>
      </c>
      <c r="N357">
        <v>17</v>
      </c>
      <c r="O357">
        <v>0.67</v>
      </c>
      <c r="P357" t="s">
        <v>19</v>
      </c>
    </row>
    <row r="358" spans="1:16" x14ac:dyDescent="0.35">
      <c r="A358" t="s">
        <v>384</v>
      </c>
      <c r="B358">
        <v>357</v>
      </c>
      <c r="C358">
        <v>19</v>
      </c>
      <c r="D358" t="s">
        <v>16</v>
      </c>
      <c r="E358" t="s">
        <v>46</v>
      </c>
      <c r="F358">
        <v>2.5099999999999998</v>
      </c>
      <c r="G358">
        <v>6</v>
      </c>
      <c r="H358">
        <v>74.7</v>
      </c>
      <c r="I358">
        <v>0.89</v>
      </c>
      <c r="J358" t="s">
        <v>28</v>
      </c>
      <c r="K358">
        <v>26</v>
      </c>
      <c r="L358">
        <v>30</v>
      </c>
      <c r="M358">
        <v>0.56999999999999995</v>
      </c>
      <c r="N358">
        <v>18</v>
      </c>
      <c r="O358">
        <v>0.67</v>
      </c>
      <c r="P358" t="s">
        <v>24</v>
      </c>
    </row>
    <row r="359" spans="1:16" x14ac:dyDescent="0.35">
      <c r="A359" t="s">
        <v>385</v>
      </c>
      <c r="B359">
        <v>358</v>
      </c>
      <c r="C359">
        <v>25</v>
      </c>
      <c r="D359" t="s">
        <v>21</v>
      </c>
      <c r="E359" t="s">
        <v>46</v>
      </c>
      <c r="F359">
        <v>2.54</v>
      </c>
      <c r="G359">
        <v>5</v>
      </c>
      <c r="H359">
        <v>99.2</v>
      </c>
      <c r="I359">
        <v>0.95</v>
      </c>
      <c r="J359" t="s">
        <v>23</v>
      </c>
      <c r="K359">
        <v>7</v>
      </c>
      <c r="L359">
        <v>26</v>
      </c>
      <c r="M359">
        <v>0.62</v>
      </c>
      <c r="N359">
        <v>7</v>
      </c>
      <c r="O359">
        <v>0.99</v>
      </c>
      <c r="P359" t="s">
        <v>24</v>
      </c>
    </row>
    <row r="360" spans="1:16" x14ac:dyDescent="0.35">
      <c r="A360" t="s">
        <v>386</v>
      </c>
      <c r="B360">
        <v>359</v>
      </c>
      <c r="C360">
        <v>18</v>
      </c>
      <c r="D360" t="s">
        <v>21</v>
      </c>
      <c r="E360" t="s">
        <v>17</v>
      </c>
      <c r="F360">
        <v>2.25</v>
      </c>
      <c r="G360">
        <v>6</v>
      </c>
      <c r="H360">
        <v>76.8</v>
      </c>
      <c r="I360">
        <v>0.98</v>
      </c>
      <c r="J360" t="s">
        <v>23</v>
      </c>
      <c r="K360">
        <v>36</v>
      </c>
      <c r="L360">
        <v>27</v>
      </c>
      <c r="M360">
        <v>0.62</v>
      </c>
      <c r="N360">
        <v>2</v>
      </c>
      <c r="O360">
        <v>0.76</v>
      </c>
      <c r="P360" t="s">
        <v>19</v>
      </c>
    </row>
    <row r="361" spans="1:16" x14ac:dyDescent="0.35">
      <c r="A361" t="s">
        <v>387</v>
      </c>
      <c r="B361">
        <v>360</v>
      </c>
      <c r="C361">
        <v>20</v>
      </c>
      <c r="D361" t="s">
        <v>16</v>
      </c>
      <c r="E361" t="s">
        <v>46</v>
      </c>
      <c r="F361">
        <v>2.67</v>
      </c>
      <c r="G361">
        <v>4</v>
      </c>
      <c r="H361">
        <v>80.099999999999994</v>
      </c>
      <c r="I361">
        <v>0.92</v>
      </c>
      <c r="J361" t="s">
        <v>28</v>
      </c>
      <c r="K361">
        <v>31</v>
      </c>
      <c r="L361">
        <v>66</v>
      </c>
      <c r="M361">
        <v>0.94</v>
      </c>
      <c r="N361">
        <v>13</v>
      </c>
      <c r="O361">
        <v>0.56999999999999995</v>
      </c>
      <c r="P361" t="s">
        <v>24</v>
      </c>
    </row>
    <row r="362" spans="1:16" x14ac:dyDescent="0.35">
      <c r="A362" t="s">
        <v>388</v>
      </c>
      <c r="B362">
        <v>361</v>
      </c>
      <c r="C362">
        <v>21</v>
      </c>
      <c r="D362" t="s">
        <v>21</v>
      </c>
      <c r="E362" t="s">
        <v>17</v>
      </c>
      <c r="F362">
        <v>4</v>
      </c>
      <c r="G362">
        <v>6</v>
      </c>
      <c r="H362">
        <v>96.4</v>
      </c>
      <c r="I362">
        <v>0.94</v>
      </c>
      <c r="J362" t="s">
        <v>28</v>
      </c>
      <c r="K362">
        <v>25</v>
      </c>
      <c r="L362">
        <v>46</v>
      </c>
      <c r="M362">
        <v>0.6</v>
      </c>
      <c r="N362">
        <v>8</v>
      </c>
      <c r="O362">
        <v>0.61</v>
      </c>
      <c r="P362" t="s">
        <v>41</v>
      </c>
    </row>
    <row r="363" spans="1:16" x14ac:dyDescent="0.35">
      <c r="A363" t="s">
        <v>389</v>
      </c>
      <c r="B363">
        <v>362</v>
      </c>
      <c r="C363">
        <v>18</v>
      </c>
      <c r="D363" t="s">
        <v>32</v>
      </c>
      <c r="E363" t="s">
        <v>30</v>
      </c>
      <c r="F363">
        <v>2.81</v>
      </c>
      <c r="G363">
        <v>5</v>
      </c>
      <c r="H363">
        <v>88.7</v>
      </c>
      <c r="I363">
        <v>0.82</v>
      </c>
      <c r="J363" t="s">
        <v>18</v>
      </c>
      <c r="K363">
        <v>1</v>
      </c>
      <c r="L363">
        <v>69</v>
      </c>
      <c r="M363">
        <v>0.89</v>
      </c>
      <c r="N363">
        <v>7</v>
      </c>
      <c r="O363">
        <v>0.74</v>
      </c>
      <c r="P363" t="s">
        <v>24</v>
      </c>
    </row>
    <row r="364" spans="1:16" x14ac:dyDescent="0.35">
      <c r="A364" t="s">
        <v>390</v>
      </c>
      <c r="B364">
        <v>363</v>
      </c>
      <c r="C364">
        <v>18</v>
      </c>
      <c r="D364" t="s">
        <v>32</v>
      </c>
      <c r="E364" t="s">
        <v>17</v>
      </c>
      <c r="F364">
        <v>2.44</v>
      </c>
      <c r="G364">
        <v>5</v>
      </c>
      <c r="H364">
        <v>83.3</v>
      </c>
      <c r="I364">
        <v>0.93</v>
      </c>
      <c r="J364" t="s">
        <v>28</v>
      </c>
      <c r="K364">
        <v>11</v>
      </c>
      <c r="L364">
        <v>47</v>
      </c>
      <c r="M364">
        <v>0.73</v>
      </c>
      <c r="N364">
        <v>16</v>
      </c>
      <c r="O364">
        <v>0.52</v>
      </c>
      <c r="P364" t="s">
        <v>19</v>
      </c>
    </row>
    <row r="365" spans="1:16" x14ac:dyDescent="0.35">
      <c r="A365" t="s">
        <v>391</v>
      </c>
      <c r="B365">
        <v>364</v>
      </c>
      <c r="C365">
        <v>19</v>
      </c>
      <c r="D365" t="s">
        <v>21</v>
      </c>
      <c r="E365" t="s">
        <v>30</v>
      </c>
      <c r="F365">
        <v>3.52</v>
      </c>
      <c r="G365">
        <v>5</v>
      </c>
      <c r="H365">
        <v>91.9</v>
      </c>
      <c r="I365">
        <v>0.72</v>
      </c>
      <c r="J365" t="s">
        <v>23</v>
      </c>
      <c r="K365">
        <v>21</v>
      </c>
      <c r="L365">
        <v>21</v>
      </c>
      <c r="M365">
        <v>1</v>
      </c>
      <c r="N365">
        <v>15</v>
      </c>
      <c r="O365">
        <v>0.73</v>
      </c>
      <c r="P365" t="s">
        <v>19</v>
      </c>
    </row>
    <row r="366" spans="1:16" x14ac:dyDescent="0.35">
      <c r="A366" t="s">
        <v>392</v>
      </c>
      <c r="B366">
        <v>365</v>
      </c>
      <c r="C366">
        <v>24</v>
      </c>
      <c r="D366" t="s">
        <v>32</v>
      </c>
      <c r="E366" t="s">
        <v>17</v>
      </c>
      <c r="F366">
        <v>3.08</v>
      </c>
      <c r="G366">
        <v>6</v>
      </c>
      <c r="H366">
        <v>94.6</v>
      </c>
      <c r="I366">
        <v>0.76</v>
      </c>
      <c r="J366" t="s">
        <v>18</v>
      </c>
      <c r="K366">
        <v>16</v>
      </c>
      <c r="L366">
        <v>84</v>
      </c>
      <c r="M366">
        <v>0.92</v>
      </c>
      <c r="N366">
        <v>9</v>
      </c>
      <c r="O366">
        <v>0.71</v>
      </c>
      <c r="P366" t="s">
        <v>24</v>
      </c>
    </row>
    <row r="367" spans="1:16" x14ac:dyDescent="0.35">
      <c r="A367" t="s">
        <v>393</v>
      </c>
      <c r="B367">
        <v>366</v>
      </c>
      <c r="C367">
        <v>24</v>
      </c>
      <c r="D367" t="s">
        <v>21</v>
      </c>
      <c r="E367" t="s">
        <v>30</v>
      </c>
      <c r="F367">
        <v>2.2999999999999998</v>
      </c>
      <c r="G367">
        <v>4</v>
      </c>
      <c r="H367">
        <v>78.3</v>
      </c>
      <c r="I367">
        <v>0.73</v>
      </c>
      <c r="J367" t="s">
        <v>23</v>
      </c>
      <c r="K367">
        <v>6</v>
      </c>
      <c r="L367">
        <v>82</v>
      </c>
      <c r="M367">
        <v>0.87</v>
      </c>
      <c r="N367">
        <v>9</v>
      </c>
      <c r="O367">
        <v>0.89</v>
      </c>
      <c r="P367" t="s">
        <v>19</v>
      </c>
    </row>
    <row r="368" spans="1:16" x14ac:dyDescent="0.35">
      <c r="A368" t="s">
        <v>394</v>
      </c>
      <c r="B368">
        <v>367</v>
      </c>
      <c r="C368">
        <v>23</v>
      </c>
      <c r="D368" t="s">
        <v>16</v>
      </c>
      <c r="E368" t="s">
        <v>46</v>
      </c>
      <c r="F368">
        <v>2.76</v>
      </c>
      <c r="G368">
        <v>3</v>
      </c>
      <c r="H368">
        <v>79</v>
      </c>
      <c r="I368">
        <v>0.79</v>
      </c>
      <c r="J368" t="s">
        <v>18</v>
      </c>
      <c r="K368">
        <v>3</v>
      </c>
      <c r="L368">
        <v>10</v>
      </c>
      <c r="M368">
        <v>0.94</v>
      </c>
      <c r="N368">
        <v>5</v>
      </c>
      <c r="O368">
        <v>0.68</v>
      </c>
      <c r="P368" t="s">
        <v>24</v>
      </c>
    </row>
    <row r="369" spans="1:16" x14ac:dyDescent="0.35">
      <c r="A369" t="s">
        <v>395</v>
      </c>
      <c r="B369">
        <v>368</v>
      </c>
      <c r="C369">
        <v>19</v>
      </c>
      <c r="D369" t="s">
        <v>16</v>
      </c>
      <c r="E369" t="s">
        <v>30</v>
      </c>
      <c r="F369">
        <v>2.83</v>
      </c>
      <c r="G369">
        <v>4</v>
      </c>
      <c r="H369">
        <v>75.400000000000006</v>
      </c>
      <c r="I369">
        <v>0.71</v>
      </c>
      <c r="J369" t="s">
        <v>28</v>
      </c>
      <c r="K369">
        <v>36</v>
      </c>
      <c r="L369">
        <v>67</v>
      </c>
      <c r="M369">
        <v>0.82</v>
      </c>
      <c r="N369">
        <v>16</v>
      </c>
      <c r="O369">
        <v>0.99</v>
      </c>
      <c r="P369" t="s">
        <v>19</v>
      </c>
    </row>
    <row r="370" spans="1:16" x14ac:dyDescent="0.35">
      <c r="A370" t="s">
        <v>396</v>
      </c>
      <c r="B370">
        <v>369</v>
      </c>
      <c r="C370">
        <v>20</v>
      </c>
      <c r="D370" t="s">
        <v>32</v>
      </c>
      <c r="E370" t="s">
        <v>46</v>
      </c>
      <c r="F370">
        <v>3.51</v>
      </c>
      <c r="G370">
        <v>6</v>
      </c>
      <c r="H370">
        <v>98.7</v>
      </c>
      <c r="I370">
        <v>0.98</v>
      </c>
      <c r="J370" t="s">
        <v>28</v>
      </c>
      <c r="K370">
        <v>37</v>
      </c>
      <c r="L370">
        <v>12</v>
      </c>
      <c r="M370">
        <v>0.92</v>
      </c>
      <c r="N370">
        <v>15</v>
      </c>
      <c r="O370">
        <v>0.59</v>
      </c>
      <c r="P370" t="s">
        <v>41</v>
      </c>
    </row>
    <row r="371" spans="1:16" x14ac:dyDescent="0.35">
      <c r="A371" t="s">
        <v>397</v>
      </c>
      <c r="B371">
        <v>370</v>
      </c>
      <c r="C371">
        <v>24</v>
      </c>
      <c r="D371" t="s">
        <v>21</v>
      </c>
      <c r="E371" t="s">
        <v>46</v>
      </c>
      <c r="F371">
        <v>2.04</v>
      </c>
      <c r="G371">
        <v>6</v>
      </c>
      <c r="H371">
        <v>87.9</v>
      </c>
      <c r="I371">
        <v>0.73</v>
      </c>
      <c r="J371" t="s">
        <v>28</v>
      </c>
      <c r="K371">
        <v>31</v>
      </c>
      <c r="L371">
        <v>72</v>
      </c>
      <c r="M371">
        <v>0.63</v>
      </c>
      <c r="N371">
        <v>14</v>
      </c>
      <c r="O371">
        <v>0.8</v>
      </c>
      <c r="P371" t="s">
        <v>19</v>
      </c>
    </row>
    <row r="372" spans="1:16" x14ac:dyDescent="0.35">
      <c r="A372" t="s">
        <v>398</v>
      </c>
      <c r="B372">
        <v>371</v>
      </c>
      <c r="C372">
        <v>21</v>
      </c>
      <c r="D372" t="s">
        <v>21</v>
      </c>
      <c r="E372" t="s">
        <v>30</v>
      </c>
      <c r="F372">
        <v>2.54</v>
      </c>
      <c r="G372">
        <v>3</v>
      </c>
      <c r="H372">
        <v>63.3</v>
      </c>
      <c r="I372">
        <v>0.64</v>
      </c>
      <c r="J372" t="s">
        <v>23</v>
      </c>
      <c r="K372">
        <v>10</v>
      </c>
      <c r="L372">
        <v>30</v>
      </c>
      <c r="M372">
        <v>0.55000000000000004</v>
      </c>
      <c r="N372">
        <v>13</v>
      </c>
      <c r="O372">
        <v>0.54</v>
      </c>
      <c r="P372" t="s">
        <v>19</v>
      </c>
    </row>
    <row r="373" spans="1:16" x14ac:dyDescent="0.35">
      <c r="A373" t="s">
        <v>399</v>
      </c>
      <c r="B373">
        <v>372</v>
      </c>
      <c r="C373">
        <v>25</v>
      </c>
      <c r="D373" t="s">
        <v>32</v>
      </c>
      <c r="E373" t="s">
        <v>17</v>
      </c>
      <c r="F373">
        <v>3.04</v>
      </c>
      <c r="G373">
        <v>6</v>
      </c>
      <c r="H373">
        <v>94.5</v>
      </c>
      <c r="I373">
        <v>0.81</v>
      </c>
      <c r="J373" t="s">
        <v>18</v>
      </c>
      <c r="K373">
        <v>0</v>
      </c>
      <c r="L373">
        <v>32</v>
      </c>
      <c r="M373">
        <v>0.81</v>
      </c>
      <c r="N373">
        <v>3</v>
      </c>
      <c r="O373">
        <v>0.87</v>
      </c>
      <c r="P373" t="s">
        <v>24</v>
      </c>
    </row>
    <row r="374" spans="1:16" x14ac:dyDescent="0.35">
      <c r="A374" t="s">
        <v>400</v>
      </c>
      <c r="B374">
        <v>373</v>
      </c>
      <c r="C374">
        <v>19</v>
      </c>
      <c r="D374" t="s">
        <v>16</v>
      </c>
      <c r="E374" t="s">
        <v>17</v>
      </c>
      <c r="F374">
        <v>2.54</v>
      </c>
      <c r="G374">
        <v>5</v>
      </c>
      <c r="H374">
        <v>79.2</v>
      </c>
      <c r="I374">
        <v>0.62</v>
      </c>
      <c r="J374" t="s">
        <v>23</v>
      </c>
      <c r="K374">
        <v>24</v>
      </c>
      <c r="L374">
        <v>18</v>
      </c>
      <c r="M374">
        <v>0.72</v>
      </c>
      <c r="N374">
        <v>3</v>
      </c>
      <c r="O374">
        <v>1</v>
      </c>
      <c r="P374" t="s">
        <v>19</v>
      </c>
    </row>
    <row r="375" spans="1:16" x14ac:dyDescent="0.35">
      <c r="A375" t="s">
        <v>401</v>
      </c>
      <c r="B375">
        <v>374</v>
      </c>
      <c r="C375">
        <v>25</v>
      </c>
      <c r="D375" t="s">
        <v>32</v>
      </c>
      <c r="E375" t="s">
        <v>22</v>
      </c>
      <c r="F375">
        <v>3.26</v>
      </c>
      <c r="G375">
        <v>5</v>
      </c>
      <c r="H375">
        <v>62.8</v>
      </c>
      <c r="I375">
        <v>0.64</v>
      </c>
      <c r="J375" t="s">
        <v>18</v>
      </c>
      <c r="K375">
        <v>23</v>
      </c>
      <c r="L375">
        <v>64</v>
      </c>
      <c r="M375">
        <v>0.71</v>
      </c>
      <c r="N375">
        <v>1</v>
      </c>
      <c r="O375">
        <v>0.91</v>
      </c>
      <c r="P375" t="s">
        <v>19</v>
      </c>
    </row>
    <row r="376" spans="1:16" x14ac:dyDescent="0.35">
      <c r="A376" t="s">
        <v>402</v>
      </c>
      <c r="B376">
        <v>375</v>
      </c>
      <c r="C376">
        <v>18</v>
      </c>
      <c r="D376" t="s">
        <v>16</v>
      </c>
      <c r="E376" t="s">
        <v>17</v>
      </c>
      <c r="F376">
        <v>2.96</v>
      </c>
      <c r="G376">
        <v>5</v>
      </c>
      <c r="H376">
        <v>82</v>
      </c>
      <c r="I376">
        <v>0.69</v>
      </c>
      <c r="J376" t="s">
        <v>28</v>
      </c>
      <c r="K376">
        <v>16</v>
      </c>
      <c r="L376">
        <v>28</v>
      </c>
      <c r="M376">
        <v>0.76</v>
      </c>
      <c r="N376">
        <v>10</v>
      </c>
      <c r="O376">
        <v>0.78</v>
      </c>
      <c r="P376" t="s">
        <v>19</v>
      </c>
    </row>
    <row r="377" spans="1:16" x14ac:dyDescent="0.35">
      <c r="A377" t="s">
        <v>403</v>
      </c>
      <c r="B377">
        <v>376</v>
      </c>
      <c r="C377">
        <v>21</v>
      </c>
      <c r="D377" t="s">
        <v>21</v>
      </c>
      <c r="E377" t="s">
        <v>22</v>
      </c>
      <c r="F377">
        <v>2.72</v>
      </c>
      <c r="G377">
        <v>5</v>
      </c>
      <c r="H377">
        <v>76.7</v>
      </c>
      <c r="I377">
        <v>0.79</v>
      </c>
      <c r="J377" t="s">
        <v>23</v>
      </c>
      <c r="K377">
        <v>7</v>
      </c>
      <c r="L377">
        <v>71</v>
      </c>
      <c r="M377">
        <v>0.68</v>
      </c>
      <c r="N377">
        <v>3</v>
      </c>
      <c r="O377">
        <v>0.74</v>
      </c>
      <c r="P377" t="s">
        <v>24</v>
      </c>
    </row>
    <row r="378" spans="1:16" x14ac:dyDescent="0.35">
      <c r="A378" t="s">
        <v>404</v>
      </c>
      <c r="B378">
        <v>377</v>
      </c>
      <c r="C378">
        <v>21</v>
      </c>
      <c r="D378" t="s">
        <v>16</v>
      </c>
      <c r="E378" t="s">
        <v>17</v>
      </c>
      <c r="F378">
        <v>3.9</v>
      </c>
      <c r="G378">
        <v>5</v>
      </c>
      <c r="H378">
        <v>95.1</v>
      </c>
      <c r="I378">
        <v>0.77</v>
      </c>
      <c r="J378" t="s">
        <v>28</v>
      </c>
      <c r="K378">
        <v>26</v>
      </c>
      <c r="L378">
        <v>48</v>
      </c>
      <c r="M378">
        <v>0.81</v>
      </c>
      <c r="N378">
        <v>15</v>
      </c>
      <c r="O378">
        <v>0.92</v>
      </c>
      <c r="P378" t="s">
        <v>24</v>
      </c>
    </row>
    <row r="379" spans="1:16" x14ac:dyDescent="0.35">
      <c r="A379" t="s">
        <v>405</v>
      </c>
      <c r="B379">
        <v>378</v>
      </c>
      <c r="C379">
        <v>18</v>
      </c>
      <c r="D379" t="s">
        <v>32</v>
      </c>
      <c r="E379" t="s">
        <v>17</v>
      </c>
      <c r="F379">
        <v>3.26</v>
      </c>
      <c r="G379">
        <v>6</v>
      </c>
      <c r="H379">
        <v>68.2</v>
      </c>
      <c r="I379">
        <v>0.92</v>
      </c>
      <c r="J379" t="s">
        <v>23</v>
      </c>
      <c r="K379">
        <v>17</v>
      </c>
      <c r="L379">
        <v>85</v>
      </c>
      <c r="M379">
        <v>0.52</v>
      </c>
      <c r="N379">
        <v>3</v>
      </c>
      <c r="O379">
        <v>0.97</v>
      </c>
      <c r="P379" t="s">
        <v>41</v>
      </c>
    </row>
    <row r="380" spans="1:16" x14ac:dyDescent="0.35">
      <c r="A380" t="s">
        <v>406</v>
      </c>
      <c r="B380">
        <v>379</v>
      </c>
      <c r="C380">
        <v>19</v>
      </c>
      <c r="D380" t="s">
        <v>21</v>
      </c>
      <c r="E380" t="s">
        <v>46</v>
      </c>
      <c r="F380">
        <v>2.2599999999999998</v>
      </c>
      <c r="G380">
        <v>3</v>
      </c>
      <c r="H380">
        <v>93.1</v>
      </c>
      <c r="I380">
        <v>0.9</v>
      </c>
      <c r="J380" t="s">
        <v>28</v>
      </c>
      <c r="K380">
        <v>26</v>
      </c>
      <c r="L380">
        <v>36</v>
      </c>
      <c r="M380">
        <v>0.98</v>
      </c>
      <c r="N380">
        <v>0</v>
      </c>
      <c r="O380">
        <v>0.99</v>
      </c>
      <c r="P380" t="s">
        <v>19</v>
      </c>
    </row>
    <row r="381" spans="1:16" x14ac:dyDescent="0.35">
      <c r="A381" t="s">
        <v>407</v>
      </c>
      <c r="B381">
        <v>380</v>
      </c>
      <c r="C381">
        <v>18</v>
      </c>
      <c r="D381" t="s">
        <v>32</v>
      </c>
      <c r="E381" t="s">
        <v>22</v>
      </c>
      <c r="F381">
        <v>3.12</v>
      </c>
      <c r="G381">
        <v>3</v>
      </c>
      <c r="H381">
        <v>82.3</v>
      </c>
      <c r="I381">
        <v>0.77</v>
      </c>
      <c r="J381" t="s">
        <v>23</v>
      </c>
      <c r="K381">
        <v>21</v>
      </c>
      <c r="L381">
        <v>55</v>
      </c>
      <c r="M381">
        <v>0.96</v>
      </c>
      <c r="N381">
        <v>18</v>
      </c>
      <c r="O381">
        <v>0.7</v>
      </c>
      <c r="P381" t="s">
        <v>24</v>
      </c>
    </row>
    <row r="382" spans="1:16" x14ac:dyDescent="0.35">
      <c r="A382" t="s">
        <v>408</v>
      </c>
      <c r="B382">
        <v>381</v>
      </c>
      <c r="C382">
        <v>25</v>
      </c>
      <c r="D382" t="s">
        <v>32</v>
      </c>
      <c r="E382" t="s">
        <v>17</v>
      </c>
      <c r="F382">
        <v>3.56</v>
      </c>
      <c r="G382">
        <v>5</v>
      </c>
      <c r="H382">
        <v>62.2</v>
      </c>
      <c r="I382">
        <v>0.73</v>
      </c>
      <c r="J382" t="s">
        <v>23</v>
      </c>
      <c r="K382">
        <v>15</v>
      </c>
      <c r="L382">
        <v>43</v>
      </c>
      <c r="M382">
        <v>0.97</v>
      </c>
      <c r="N382">
        <v>1</v>
      </c>
      <c r="O382">
        <v>1</v>
      </c>
      <c r="P382" t="s">
        <v>19</v>
      </c>
    </row>
    <row r="383" spans="1:16" x14ac:dyDescent="0.35">
      <c r="A383" t="s">
        <v>409</v>
      </c>
      <c r="B383">
        <v>382</v>
      </c>
      <c r="C383">
        <v>23</v>
      </c>
      <c r="D383" t="s">
        <v>16</v>
      </c>
      <c r="E383" t="s">
        <v>22</v>
      </c>
      <c r="F383">
        <v>3.42</v>
      </c>
      <c r="G383">
        <v>6</v>
      </c>
      <c r="H383">
        <v>98.9</v>
      </c>
      <c r="I383">
        <v>0.73</v>
      </c>
      <c r="J383" t="s">
        <v>18</v>
      </c>
      <c r="K383">
        <v>1</v>
      </c>
      <c r="L383">
        <v>42</v>
      </c>
      <c r="M383">
        <v>0.68</v>
      </c>
      <c r="N383">
        <v>8</v>
      </c>
      <c r="O383">
        <v>0.57999999999999996</v>
      </c>
      <c r="P383" t="s">
        <v>19</v>
      </c>
    </row>
    <row r="384" spans="1:16" x14ac:dyDescent="0.35">
      <c r="A384" t="s">
        <v>410</v>
      </c>
      <c r="B384">
        <v>383</v>
      </c>
      <c r="C384">
        <v>21</v>
      </c>
      <c r="D384" t="s">
        <v>32</v>
      </c>
      <c r="E384" t="s">
        <v>46</v>
      </c>
      <c r="F384">
        <v>2.34</v>
      </c>
      <c r="G384">
        <v>4</v>
      </c>
      <c r="H384">
        <v>80.5</v>
      </c>
      <c r="I384">
        <v>0.91</v>
      </c>
      <c r="J384" t="s">
        <v>28</v>
      </c>
      <c r="K384">
        <v>4</v>
      </c>
      <c r="L384">
        <v>59</v>
      </c>
      <c r="M384">
        <v>0.77</v>
      </c>
      <c r="N384">
        <v>12</v>
      </c>
      <c r="O384">
        <v>0.63</v>
      </c>
      <c r="P384" t="s">
        <v>19</v>
      </c>
    </row>
    <row r="385" spans="1:16" x14ac:dyDescent="0.35">
      <c r="A385" t="s">
        <v>411</v>
      </c>
      <c r="B385">
        <v>384</v>
      </c>
      <c r="C385">
        <v>22</v>
      </c>
      <c r="D385" t="s">
        <v>16</v>
      </c>
      <c r="E385" t="s">
        <v>46</v>
      </c>
      <c r="F385">
        <v>3.94</v>
      </c>
      <c r="G385">
        <v>4</v>
      </c>
      <c r="H385">
        <v>71.599999999999994</v>
      </c>
      <c r="I385">
        <v>0.62</v>
      </c>
      <c r="J385" t="s">
        <v>18</v>
      </c>
      <c r="K385">
        <v>17</v>
      </c>
      <c r="L385">
        <v>29</v>
      </c>
      <c r="M385">
        <v>0.98</v>
      </c>
      <c r="N385">
        <v>17</v>
      </c>
      <c r="O385">
        <v>0.54</v>
      </c>
      <c r="P385" t="s">
        <v>19</v>
      </c>
    </row>
    <row r="386" spans="1:16" x14ac:dyDescent="0.35">
      <c r="A386" t="s">
        <v>412</v>
      </c>
      <c r="B386">
        <v>385</v>
      </c>
      <c r="C386">
        <v>22</v>
      </c>
      <c r="D386" t="s">
        <v>21</v>
      </c>
      <c r="E386" t="s">
        <v>22</v>
      </c>
      <c r="F386">
        <v>2.9</v>
      </c>
      <c r="G386">
        <v>6</v>
      </c>
      <c r="H386">
        <v>78.8</v>
      </c>
      <c r="I386">
        <v>0.61</v>
      </c>
      <c r="J386" t="s">
        <v>18</v>
      </c>
      <c r="K386">
        <v>2</v>
      </c>
      <c r="L386">
        <v>49</v>
      </c>
      <c r="M386">
        <v>0.95</v>
      </c>
      <c r="N386">
        <v>15</v>
      </c>
      <c r="O386">
        <v>0.64</v>
      </c>
      <c r="P386" t="s">
        <v>19</v>
      </c>
    </row>
    <row r="387" spans="1:16" x14ac:dyDescent="0.35">
      <c r="A387" t="s">
        <v>413</v>
      </c>
      <c r="B387">
        <v>386</v>
      </c>
      <c r="C387">
        <v>25</v>
      </c>
      <c r="D387" t="s">
        <v>16</v>
      </c>
      <c r="E387" t="s">
        <v>46</v>
      </c>
      <c r="F387">
        <v>2.3199999999999998</v>
      </c>
      <c r="G387">
        <v>5</v>
      </c>
      <c r="H387">
        <v>94.3</v>
      </c>
      <c r="I387">
        <v>0.92</v>
      </c>
      <c r="J387" t="s">
        <v>28</v>
      </c>
      <c r="K387">
        <v>26</v>
      </c>
      <c r="L387">
        <v>67</v>
      </c>
      <c r="M387">
        <v>0.9</v>
      </c>
      <c r="N387">
        <v>15</v>
      </c>
      <c r="O387">
        <v>0.88</v>
      </c>
      <c r="P387" t="s">
        <v>19</v>
      </c>
    </row>
    <row r="388" spans="1:16" x14ac:dyDescent="0.35">
      <c r="A388" t="s">
        <v>414</v>
      </c>
      <c r="B388">
        <v>387</v>
      </c>
      <c r="C388">
        <v>20</v>
      </c>
      <c r="D388" t="s">
        <v>21</v>
      </c>
      <c r="E388" t="s">
        <v>30</v>
      </c>
      <c r="F388">
        <v>2.36</v>
      </c>
      <c r="G388">
        <v>3</v>
      </c>
      <c r="H388">
        <v>72.2</v>
      </c>
      <c r="I388">
        <v>0.79</v>
      </c>
      <c r="J388" t="s">
        <v>23</v>
      </c>
      <c r="K388">
        <v>16</v>
      </c>
      <c r="L388">
        <v>40</v>
      </c>
      <c r="M388">
        <v>0.7</v>
      </c>
      <c r="N388">
        <v>9</v>
      </c>
      <c r="O388">
        <v>0.93</v>
      </c>
      <c r="P388" t="s">
        <v>19</v>
      </c>
    </row>
    <row r="389" spans="1:16" x14ac:dyDescent="0.35">
      <c r="A389" t="s">
        <v>415</v>
      </c>
      <c r="B389">
        <v>388</v>
      </c>
      <c r="C389">
        <v>24</v>
      </c>
      <c r="D389" t="s">
        <v>16</v>
      </c>
      <c r="E389" t="s">
        <v>30</v>
      </c>
      <c r="F389">
        <v>2.2000000000000002</v>
      </c>
      <c r="G389">
        <v>6</v>
      </c>
      <c r="H389">
        <v>67.7</v>
      </c>
      <c r="I389">
        <v>0.65</v>
      </c>
      <c r="J389" t="s">
        <v>18</v>
      </c>
      <c r="K389">
        <v>15</v>
      </c>
      <c r="L389">
        <v>47</v>
      </c>
      <c r="M389">
        <v>0.78</v>
      </c>
      <c r="N389">
        <v>8</v>
      </c>
      <c r="O389">
        <v>0.89</v>
      </c>
      <c r="P389" t="s">
        <v>19</v>
      </c>
    </row>
    <row r="390" spans="1:16" x14ac:dyDescent="0.35">
      <c r="A390" t="s">
        <v>416</v>
      </c>
      <c r="B390">
        <v>389</v>
      </c>
      <c r="C390">
        <v>18</v>
      </c>
      <c r="D390" t="s">
        <v>32</v>
      </c>
      <c r="E390" t="s">
        <v>46</v>
      </c>
      <c r="F390">
        <v>3.61</v>
      </c>
      <c r="G390">
        <v>4</v>
      </c>
      <c r="H390">
        <v>65.2</v>
      </c>
      <c r="I390">
        <v>0.69</v>
      </c>
      <c r="J390" t="s">
        <v>28</v>
      </c>
      <c r="K390">
        <v>5</v>
      </c>
      <c r="L390">
        <v>54</v>
      </c>
      <c r="M390">
        <v>0.9</v>
      </c>
      <c r="N390">
        <v>10</v>
      </c>
      <c r="O390">
        <v>0.82</v>
      </c>
      <c r="P390" t="s">
        <v>19</v>
      </c>
    </row>
    <row r="391" spans="1:16" x14ac:dyDescent="0.35">
      <c r="A391" t="s">
        <v>417</v>
      </c>
      <c r="B391">
        <v>390</v>
      </c>
      <c r="C391">
        <v>18</v>
      </c>
      <c r="D391" t="s">
        <v>16</v>
      </c>
      <c r="E391" t="s">
        <v>30</v>
      </c>
      <c r="F391">
        <v>2.2400000000000002</v>
      </c>
      <c r="G391">
        <v>4</v>
      </c>
      <c r="H391">
        <v>71.900000000000006</v>
      </c>
      <c r="I391">
        <v>0.97</v>
      </c>
      <c r="J391" t="s">
        <v>23</v>
      </c>
      <c r="K391">
        <v>6</v>
      </c>
      <c r="L391">
        <v>50</v>
      </c>
      <c r="M391">
        <v>0.64</v>
      </c>
      <c r="N391">
        <v>3</v>
      </c>
      <c r="O391">
        <v>0.76</v>
      </c>
      <c r="P391" t="s">
        <v>19</v>
      </c>
    </row>
    <row r="392" spans="1:16" x14ac:dyDescent="0.35">
      <c r="A392" t="s">
        <v>418</v>
      </c>
      <c r="B392">
        <v>391</v>
      </c>
      <c r="C392">
        <v>20</v>
      </c>
      <c r="D392" t="s">
        <v>16</v>
      </c>
      <c r="E392" t="s">
        <v>17</v>
      </c>
      <c r="F392">
        <v>2.25</v>
      </c>
      <c r="G392">
        <v>4</v>
      </c>
      <c r="H392">
        <v>91.2</v>
      </c>
      <c r="I392">
        <v>0.94</v>
      </c>
      <c r="J392" t="s">
        <v>18</v>
      </c>
      <c r="K392">
        <v>13</v>
      </c>
      <c r="L392">
        <v>18</v>
      </c>
      <c r="M392">
        <v>0.81</v>
      </c>
      <c r="N392">
        <v>9</v>
      </c>
      <c r="O392">
        <v>0.85</v>
      </c>
      <c r="P392" t="s">
        <v>19</v>
      </c>
    </row>
    <row r="393" spans="1:16" x14ac:dyDescent="0.35">
      <c r="A393" t="s">
        <v>419</v>
      </c>
      <c r="B393">
        <v>392</v>
      </c>
      <c r="C393">
        <v>20</v>
      </c>
      <c r="D393" t="s">
        <v>21</v>
      </c>
      <c r="E393" t="s">
        <v>22</v>
      </c>
      <c r="F393">
        <v>3.7</v>
      </c>
      <c r="G393">
        <v>5</v>
      </c>
      <c r="H393">
        <v>78.900000000000006</v>
      </c>
      <c r="I393">
        <v>0.88</v>
      </c>
      <c r="J393" t="s">
        <v>18</v>
      </c>
      <c r="K393">
        <v>37</v>
      </c>
      <c r="L393">
        <v>18</v>
      </c>
      <c r="M393">
        <v>0.91</v>
      </c>
      <c r="N393">
        <v>2</v>
      </c>
      <c r="O393">
        <v>0.7</v>
      </c>
      <c r="P393" t="s">
        <v>41</v>
      </c>
    </row>
    <row r="394" spans="1:16" x14ac:dyDescent="0.35">
      <c r="A394" t="s">
        <v>420</v>
      </c>
      <c r="B394">
        <v>393</v>
      </c>
      <c r="C394">
        <v>25</v>
      </c>
      <c r="D394" t="s">
        <v>32</v>
      </c>
      <c r="E394" t="s">
        <v>17</v>
      </c>
      <c r="F394">
        <v>2.69</v>
      </c>
      <c r="G394">
        <v>4</v>
      </c>
      <c r="H394">
        <v>69.099999999999994</v>
      </c>
      <c r="I394">
        <v>0.79</v>
      </c>
      <c r="J394" t="s">
        <v>18</v>
      </c>
      <c r="K394">
        <v>39</v>
      </c>
      <c r="L394">
        <v>72</v>
      </c>
      <c r="M394">
        <v>0.85</v>
      </c>
      <c r="N394">
        <v>5</v>
      </c>
      <c r="O394">
        <v>0.92</v>
      </c>
      <c r="P394" t="s">
        <v>24</v>
      </c>
    </row>
    <row r="395" spans="1:16" x14ac:dyDescent="0.35">
      <c r="A395" t="s">
        <v>421</v>
      </c>
      <c r="B395">
        <v>394</v>
      </c>
      <c r="C395">
        <v>25</v>
      </c>
      <c r="D395" t="s">
        <v>16</v>
      </c>
      <c r="E395" t="s">
        <v>22</v>
      </c>
      <c r="F395">
        <v>2.06</v>
      </c>
      <c r="G395">
        <v>6</v>
      </c>
      <c r="H395">
        <v>66.599999999999994</v>
      </c>
      <c r="I395">
        <v>0.81</v>
      </c>
      <c r="J395" t="s">
        <v>23</v>
      </c>
      <c r="K395">
        <v>14</v>
      </c>
      <c r="L395">
        <v>88</v>
      </c>
      <c r="M395">
        <v>0.74</v>
      </c>
      <c r="N395">
        <v>2</v>
      </c>
      <c r="O395">
        <v>0.84</v>
      </c>
      <c r="P395" t="s">
        <v>19</v>
      </c>
    </row>
    <row r="396" spans="1:16" x14ac:dyDescent="0.35">
      <c r="A396" t="s">
        <v>422</v>
      </c>
      <c r="B396">
        <v>395</v>
      </c>
      <c r="C396">
        <v>20</v>
      </c>
      <c r="D396" t="s">
        <v>32</v>
      </c>
      <c r="E396" t="s">
        <v>46</v>
      </c>
      <c r="F396">
        <v>2.1</v>
      </c>
      <c r="G396">
        <v>6</v>
      </c>
      <c r="H396">
        <v>73.3</v>
      </c>
      <c r="I396">
        <v>0.99</v>
      </c>
      <c r="J396" t="s">
        <v>18</v>
      </c>
      <c r="K396">
        <v>32</v>
      </c>
      <c r="L396">
        <v>86</v>
      </c>
      <c r="M396">
        <v>0.79</v>
      </c>
      <c r="N396">
        <v>8</v>
      </c>
      <c r="O396">
        <v>0.85</v>
      </c>
      <c r="P396" t="s">
        <v>19</v>
      </c>
    </row>
    <row r="397" spans="1:16" x14ac:dyDescent="0.35">
      <c r="A397" t="s">
        <v>423</v>
      </c>
      <c r="B397">
        <v>396</v>
      </c>
      <c r="C397">
        <v>21</v>
      </c>
      <c r="D397" t="s">
        <v>16</v>
      </c>
      <c r="E397" t="s">
        <v>17</v>
      </c>
      <c r="F397">
        <v>2.2799999999999998</v>
      </c>
      <c r="G397">
        <v>4</v>
      </c>
      <c r="H397">
        <v>97.6</v>
      </c>
      <c r="I397">
        <v>0.99</v>
      </c>
      <c r="J397" t="s">
        <v>23</v>
      </c>
      <c r="K397">
        <v>26</v>
      </c>
      <c r="L397">
        <v>31</v>
      </c>
      <c r="M397">
        <v>0.99</v>
      </c>
      <c r="N397">
        <v>2</v>
      </c>
      <c r="O397">
        <v>0.77</v>
      </c>
      <c r="P397" t="s">
        <v>19</v>
      </c>
    </row>
    <row r="398" spans="1:16" x14ac:dyDescent="0.35">
      <c r="A398" t="s">
        <v>424</v>
      </c>
      <c r="B398">
        <v>397</v>
      </c>
      <c r="C398">
        <v>25</v>
      </c>
      <c r="D398" t="s">
        <v>16</v>
      </c>
      <c r="E398" t="s">
        <v>46</v>
      </c>
      <c r="F398">
        <v>2.4300000000000002</v>
      </c>
      <c r="G398">
        <v>6</v>
      </c>
      <c r="H398">
        <v>73.7</v>
      </c>
      <c r="I398">
        <v>0.69</v>
      </c>
      <c r="J398" t="s">
        <v>18</v>
      </c>
      <c r="K398">
        <v>28</v>
      </c>
      <c r="L398">
        <v>25</v>
      </c>
      <c r="M398">
        <v>0.8</v>
      </c>
      <c r="N398">
        <v>17</v>
      </c>
      <c r="O398">
        <v>0.94</v>
      </c>
      <c r="P398" t="s">
        <v>19</v>
      </c>
    </row>
    <row r="399" spans="1:16" x14ac:dyDescent="0.35">
      <c r="A399" t="s">
        <v>425</v>
      </c>
      <c r="B399">
        <v>398</v>
      </c>
      <c r="C399">
        <v>23</v>
      </c>
      <c r="D399" t="s">
        <v>32</v>
      </c>
      <c r="E399" t="s">
        <v>46</v>
      </c>
      <c r="F399">
        <v>3.33</v>
      </c>
      <c r="G399">
        <v>4</v>
      </c>
      <c r="H399">
        <v>99.5</v>
      </c>
      <c r="I399">
        <v>0.92</v>
      </c>
      <c r="J399" t="s">
        <v>28</v>
      </c>
      <c r="K399">
        <v>36</v>
      </c>
      <c r="L399">
        <v>41</v>
      </c>
      <c r="M399">
        <v>0.89</v>
      </c>
      <c r="N399">
        <v>7</v>
      </c>
      <c r="O399">
        <v>0.63</v>
      </c>
      <c r="P399" t="s">
        <v>41</v>
      </c>
    </row>
    <row r="400" spans="1:16" x14ac:dyDescent="0.35">
      <c r="A400" t="s">
        <v>426</v>
      </c>
      <c r="B400">
        <v>399</v>
      </c>
      <c r="C400">
        <v>25</v>
      </c>
      <c r="D400" t="s">
        <v>16</v>
      </c>
      <c r="E400" t="s">
        <v>22</v>
      </c>
      <c r="F400">
        <v>2.31</v>
      </c>
      <c r="G400">
        <v>4</v>
      </c>
      <c r="H400">
        <v>79.400000000000006</v>
      </c>
      <c r="I400">
        <v>0.68</v>
      </c>
      <c r="J400" t="s">
        <v>18</v>
      </c>
      <c r="K400">
        <v>4</v>
      </c>
      <c r="L400">
        <v>75</v>
      </c>
      <c r="M400">
        <v>0.86</v>
      </c>
      <c r="N400">
        <v>7</v>
      </c>
      <c r="O400">
        <v>0.69</v>
      </c>
      <c r="P400" t="s">
        <v>19</v>
      </c>
    </row>
    <row r="401" spans="1:16" x14ac:dyDescent="0.35">
      <c r="A401" t="s">
        <v>427</v>
      </c>
      <c r="B401">
        <v>400</v>
      </c>
      <c r="C401">
        <v>18</v>
      </c>
      <c r="D401" t="s">
        <v>32</v>
      </c>
      <c r="E401" t="s">
        <v>22</v>
      </c>
      <c r="F401">
        <v>2.2400000000000002</v>
      </c>
      <c r="G401">
        <v>3</v>
      </c>
      <c r="H401">
        <v>67.2</v>
      </c>
      <c r="I401">
        <v>0.69</v>
      </c>
      <c r="J401" t="s">
        <v>28</v>
      </c>
      <c r="K401">
        <v>28</v>
      </c>
      <c r="L401">
        <v>23</v>
      </c>
      <c r="M401">
        <v>0.85</v>
      </c>
      <c r="N401">
        <v>14</v>
      </c>
      <c r="O401">
        <v>0.89</v>
      </c>
      <c r="P401" t="s">
        <v>19</v>
      </c>
    </row>
    <row r="402" spans="1:16" x14ac:dyDescent="0.35">
      <c r="A402" t="s">
        <v>428</v>
      </c>
      <c r="B402">
        <v>401</v>
      </c>
      <c r="C402">
        <v>25</v>
      </c>
      <c r="D402" t="s">
        <v>16</v>
      </c>
      <c r="E402" t="s">
        <v>22</v>
      </c>
      <c r="F402">
        <v>3.53</v>
      </c>
      <c r="G402">
        <v>5</v>
      </c>
      <c r="H402">
        <v>95.6</v>
      </c>
      <c r="I402">
        <v>0.87</v>
      </c>
      <c r="J402" t="s">
        <v>28</v>
      </c>
      <c r="K402">
        <v>31</v>
      </c>
      <c r="L402">
        <v>47</v>
      </c>
      <c r="M402">
        <v>0.86</v>
      </c>
      <c r="N402">
        <v>12</v>
      </c>
      <c r="O402">
        <v>0.75</v>
      </c>
      <c r="P402" t="s">
        <v>41</v>
      </c>
    </row>
    <row r="403" spans="1:16" x14ac:dyDescent="0.35">
      <c r="A403" t="s">
        <v>429</v>
      </c>
      <c r="B403">
        <v>402</v>
      </c>
      <c r="C403">
        <v>21</v>
      </c>
      <c r="D403" t="s">
        <v>21</v>
      </c>
      <c r="E403" t="s">
        <v>17</v>
      </c>
      <c r="F403">
        <v>3.34</v>
      </c>
      <c r="G403">
        <v>5</v>
      </c>
      <c r="H403">
        <v>78.400000000000006</v>
      </c>
      <c r="I403">
        <v>0.76</v>
      </c>
      <c r="J403" t="s">
        <v>28</v>
      </c>
      <c r="K403">
        <v>5</v>
      </c>
      <c r="L403">
        <v>17</v>
      </c>
      <c r="M403">
        <v>0.73</v>
      </c>
      <c r="N403">
        <v>6</v>
      </c>
      <c r="O403">
        <v>0.94</v>
      </c>
      <c r="P403" t="s">
        <v>24</v>
      </c>
    </row>
    <row r="404" spans="1:16" x14ac:dyDescent="0.35">
      <c r="A404" t="s">
        <v>430</v>
      </c>
      <c r="B404">
        <v>403</v>
      </c>
      <c r="C404">
        <v>20</v>
      </c>
      <c r="D404" t="s">
        <v>32</v>
      </c>
      <c r="E404" t="s">
        <v>30</v>
      </c>
      <c r="F404">
        <v>2.87</v>
      </c>
      <c r="G404">
        <v>3</v>
      </c>
      <c r="H404">
        <v>88.4</v>
      </c>
      <c r="I404">
        <v>0.97</v>
      </c>
      <c r="J404" t="s">
        <v>23</v>
      </c>
      <c r="K404">
        <v>1</v>
      </c>
      <c r="L404">
        <v>30</v>
      </c>
      <c r="M404">
        <v>0.74</v>
      </c>
      <c r="N404">
        <v>18</v>
      </c>
      <c r="O404">
        <v>0.67</v>
      </c>
      <c r="P404" t="s">
        <v>24</v>
      </c>
    </row>
    <row r="405" spans="1:16" x14ac:dyDescent="0.35">
      <c r="A405" t="s">
        <v>431</v>
      </c>
      <c r="B405">
        <v>404</v>
      </c>
      <c r="C405">
        <v>18</v>
      </c>
      <c r="D405" t="s">
        <v>16</v>
      </c>
      <c r="E405" t="s">
        <v>22</v>
      </c>
      <c r="F405">
        <v>3.1</v>
      </c>
      <c r="G405">
        <v>3</v>
      </c>
      <c r="H405">
        <v>99.3</v>
      </c>
      <c r="I405">
        <v>0.64</v>
      </c>
      <c r="J405" t="s">
        <v>28</v>
      </c>
      <c r="K405">
        <v>5</v>
      </c>
      <c r="L405">
        <v>65</v>
      </c>
      <c r="M405">
        <v>0.73</v>
      </c>
      <c r="N405">
        <v>7</v>
      </c>
      <c r="O405">
        <v>0.68</v>
      </c>
      <c r="P405" t="s">
        <v>19</v>
      </c>
    </row>
    <row r="406" spans="1:16" x14ac:dyDescent="0.35">
      <c r="A406" t="s">
        <v>432</v>
      </c>
      <c r="B406">
        <v>405</v>
      </c>
      <c r="C406">
        <v>25</v>
      </c>
      <c r="D406" t="s">
        <v>16</v>
      </c>
      <c r="E406" t="s">
        <v>22</v>
      </c>
      <c r="F406">
        <v>2.62</v>
      </c>
      <c r="G406">
        <v>5</v>
      </c>
      <c r="H406">
        <v>62</v>
      </c>
      <c r="I406">
        <v>0.8</v>
      </c>
      <c r="J406" t="s">
        <v>18</v>
      </c>
      <c r="K406">
        <v>3</v>
      </c>
      <c r="L406">
        <v>55</v>
      </c>
      <c r="M406">
        <v>0.52</v>
      </c>
      <c r="N406">
        <v>9</v>
      </c>
      <c r="O406">
        <v>0.94</v>
      </c>
      <c r="P406" t="s">
        <v>24</v>
      </c>
    </row>
    <row r="407" spans="1:16" x14ac:dyDescent="0.35">
      <c r="A407" t="s">
        <v>433</v>
      </c>
      <c r="B407">
        <v>406</v>
      </c>
      <c r="C407">
        <v>21</v>
      </c>
      <c r="D407" t="s">
        <v>21</v>
      </c>
      <c r="E407" t="s">
        <v>17</v>
      </c>
      <c r="F407">
        <v>2.97</v>
      </c>
      <c r="G407">
        <v>4</v>
      </c>
      <c r="H407">
        <v>63.9</v>
      </c>
      <c r="I407">
        <v>0.97</v>
      </c>
      <c r="J407" t="s">
        <v>23</v>
      </c>
      <c r="K407">
        <v>28</v>
      </c>
      <c r="L407">
        <v>52</v>
      </c>
      <c r="M407">
        <v>0.62</v>
      </c>
      <c r="N407">
        <v>16</v>
      </c>
      <c r="O407">
        <v>0.73</v>
      </c>
      <c r="P407" t="s">
        <v>24</v>
      </c>
    </row>
    <row r="408" spans="1:16" x14ac:dyDescent="0.35">
      <c r="A408" t="s">
        <v>434</v>
      </c>
      <c r="B408">
        <v>407</v>
      </c>
      <c r="C408">
        <v>23</v>
      </c>
      <c r="D408" t="s">
        <v>32</v>
      </c>
      <c r="E408" t="s">
        <v>22</v>
      </c>
      <c r="F408">
        <v>3.01</v>
      </c>
      <c r="G408">
        <v>4</v>
      </c>
      <c r="H408">
        <v>88.8</v>
      </c>
      <c r="I408">
        <v>0.96</v>
      </c>
      <c r="J408" t="s">
        <v>28</v>
      </c>
      <c r="K408">
        <v>24</v>
      </c>
      <c r="L408">
        <v>55</v>
      </c>
      <c r="M408">
        <v>0.57999999999999996</v>
      </c>
      <c r="N408">
        <v>0</v>
      </c>
      <c r="O408">
        <v>0.76</v>
      </c>
      <c r="P408" t="s">
        <v>41</v>
      </c>
    </row>
    <row r="409" spans="1:16" x14ac:dyDescent="0.35">
      <c r="A409" t="s">
        <v>435</v>
      </c>
      <c r="B409">
        <v>408</v>
      </c>
      <c r="C409">
        <v>25</v>
      </c>
      <c r="D409" t="s">
        <v>16</v>
      </c>
      <c r="E409" t="s">
        <v>17</v>
      </c>
      <c r="F409">
        <v>2.77</v>
      </c>
      <c r="G409">
        <v>5</v>
      </c>
      <c r="H409">
        <v>71.3</v>
      </c>
      <c r="I409">
        <v>0.66</v>
      </c>
      <c r="J409" t="s">
        <v>23</v>
      </c>
      <c r="K409">
        <v>8</v>
      </c>
      <c r="L409">
        <v>57</v>
      </c>
      <c r="M409">
        <v>0.94</v>
      </c>
      <c r="N409">
        <v>12</v>
      </c>
      <c r="O409">
        <v>0.67</v>
      </c>
      <c r="P409" t="s">
        <v>19</v>
      </c>
    </row>
    <row r="410" spans="1:16" x14ac:dyDescent="0.35">
      <c r="A410" t="s">
        <v>436</v>
      </c>
      <c r="B410">
        <v>409</v>
      </c>
      <c r="C410">
        <v>21</v>
      </c>
      <c r="D410" t="s">
        <v>21</v>
      </c>
      <c r="E410" t="s">
        <v>46</v>
      </c>
      <c r="F410">
        <v>3.81</v>
      </c>
      <c r="G410">
        <v>4</v>
      </c>
      <c r="H410">
        <v>67.400000000000006</v>
      </c>
      <c r="I410">
        <v>0.75</v>
      </c>
      <c r="J410" t="s">
        <v>23</v>
      </c>
      <c r="K410">
        <v>2</v>
      </c>
      <c r="L410">
        <v>79</v>
      </c>
      <c r="M410">
        <v>0.64</v>
      </c>
      <c r="N410">
        <v>12</v>
      </c>
      <c r="O410">
        <v>0.64</v>
      </c>
      <c r="P410" t="s">
        <v>24</v>
      </c>
    </row>
    <row r="411" spans="1:16" x14ac:dyDescent="0.35">
      <c r="A411" t="s">
        <v>437</v>
      </c>
      <c r="B411">
        <v>410</v>
      </c>
      <c r="C411">
        <v>23</v>
      </c>
      <c r="D411" t="s">
        <v>16</v>
      </c>
      <c r="E411" t="s">
        <v>22</v>
      </c>
      <c r="F411">
        <v>2.0299999999999998</v>
      </c>
      <c r="G411">
        <v>3</v>
      </c>
      <c r="H411">
        <v>61.6</v>
      </c>
      <c r="I411">
        <v>0.85</v>
      </c>
      <c r="J411" t="s">
        <v>23</v>
      </c>
      <c r="K411">
        <v>25</v>
      </c>
      <c r="L411">
        <v>40</v>
      </c>
      <c r="M411">
        <v>0.56999999999999995</v>
      </c>
      <c r="N411">
        <v>15</v>
      </c>
      <c r="O411">
        <v>0.83</v>
      </c>
      <c r="P411" t="s">
        <v>19</v>
      </c>
    </row>
    <row r="412" spans="1:16" x14ac:dyDescent="0.35">
      <c r="A412" t="s">
        <v>438</v>
      </c>
      <c r="B412">
        <v>411</v>
      </c>
      <c r="C412">
        <v>20</v>
      </c>
      <c r="D412" t="s">
        <v>32</v>
      </c>
      <c r="E412" t="s">
        <v>22</v>
      </c>
      <c r="F412">
        <v>3.56</v>
      </c>
      <c r="G412">
        <v>4</v>
      </c>
      <c r="H412">
        <v>60.9</v>
      </c>
      <c r="I412">
        <v>0.66</v>
      </c>
      <c r="J412" t="s">
        <v>18</v>
      </c>
      <c r="K412">
        <v>26</v>
      </c>
      <c r="L412">
        <v>42</v>
      </c>
      <c r="M412">
        <v>0.56000000000000005</v>
      </c>
      <c r="N412">
        <v>8</v>
      </c>
      <c r="O412">
        <v>0.56000000000000005</v>
      </c>
      <c r="P412" t="s">
        <v>19</v>
      </c>
    </row>
    <row r="413" spans="1:16" x14ac:dyDescent="0.35">
      <c r="A413" t="s">
        <v>439</v>
      </c>
      <c r="B413">
        <v>412</v>
      </c>
      <c r="C413">
        <v>25</v>
      </c>
      <c r="D413" t="s">
        <v>16</v>
      </c>
      <c r="E413" t="s">
        <v>46</v>
      </c>
      <c r="F413">
        <v>2.25</v>
      </c>
      <c r="G413">
        <v>4</v>
      </c>
      <c r="H413">
        <v>91</v>
      </c>
      <c r="I413">
        <v>0.99</v>
      </c>
      <c r="J413" t="s">
        <v>28</v>
      </c>
      <c r="K413">
        <v>35</v>
      </c>
      <c r="L413">
        <v>53</v>
      </c>
      <c r="M413">
        <v>0.85</v>
      </c>
      <c r="N413">
        <v>9</v>
      </c>
      <c r="O413">
        <v>0.94</v>
      </c>
      <c r="P413" t="s">
        <v>19</v>
      </c>
    </row>
    <row r="414" spans="1:16" x14ac:dyDescent="0.35">
      <c r="A414" t="s">
        <v>440</v>
      </c>
      <c r="B414">
        <v>413</v>
      </c>
      <c r="C414">
        <v>23</v>
      </c>
      <c r="D414" t="s">
        <v>16</v>
      </c>
      <c r="E414" t="s">
        <v>46</v>
      </c>
      <c r="F414">
        <v>3.6</v>
      </c>
      <c r="G414">
        <v>6</v>
      </c>
      <c r="H414">
        <v>65.400000000000006</v>
      </c>
      <c r="I414">
        <v>0.97</v>
      </c>
      <c r="J414" t="s">
        <v>23</v>
      </c>
      <c r="K414">
        <v>31</v>
      </c>
      <c r="L414">
        <v>80</v>
      </c>
      <c r="M414">
        <v>0.5</v>
      </c>
      <c r="N414">
        <v>5</v>
      </c>
      <c r="O414">
        <v>0.89</v>
      </c>
      <c r="P414" t="s">
        <v>41</v>
      </c>
    </row>
    <row r="415" spans="1:16" x14ac:dyDescent="0.35">
      <c r="A415" t="s">
        <v>441</v>
      </c>
      <c r="B415">
        <v>414</v>
      </c>
      <c r="C415">
        <v>18</v>
      </c>
      <c r="D415" t="s">
        <v>16</v>
      </c>
      <c r="E415" t="s">
        <v>46</v>
      </c>
      <c r="F415">
        <v>3.23</v>
      </c>
      <c r="G415">
        <v>6</v>
      </c>
      <c r="H415">
        <v>78.7</v>
      </c>
      <c r="I415">
        <v>0.67</v>
      </c>
      <c r="J415" t="s">
        <v>23</v>
      </c>
      <c r="K415">
        <v>0</v>
      </c>
      <c r="L415">
        <v>17</v>
      </c>
      <c r="M415">
        <v>0.74</v>
      </c>
      <c r="N415">
        <v>4</v>
      </c>
      <c r="O415">
        <v>0.6</v>
      </c>
      <c r="P415" t="s">
        <v>19</v>
      </c>
    </row>
    <row r="416" spans="1:16" x14ac:dyDescent="0.35">
      <c r="A416" t="s">
        <v>442</v>
      </c>
      <c r="B416">
        <v>415</v>
      </c>
      <c r="C416">
        <v>20</v>
      </c>
      <c r="D416" t="s">
        <v>16</v>
      </c>
      <c r="E416" t="s">
        <v>22</v>
      </c>
      <c r="F416">
        <v>3.69</v>
      </c>
      <c r="G416">
        <v>6</v>
      </c>
      <c r="H416">
        <v>84.2</v>
      </c>
      <c r="I416">
        <v>0.65</v>
      </c>
      <c r="J416" t="s">
        <v>23</v>
      </c>
      <c r="K416">
        <v>15</v>
      </c>
      <c r="L416">
        <v>82</v>
      </c>
      <c r="M416">
        <v>0.56000000000000005</v>
      </c>
      <c r="N416">
        <v>1</v>
      </c>
      <c r="O416">
        <v>0.85</v>
      </c>
      <c r="P416" t="s">
        <v>19</v>
      </c>
    </row>
    <row r="417" spans="1:16" x14ac:dyDescent="0.35">
      <c r="A417" t="s">
        <v>443</v>
      </c>
      <c r="B417">
        <v>416</v>
      </c>
      <c r="C417">
        <v>18</v>
      </c>
      <c r="D417" t="s">
        <v>21</v>
      </c>
      <c r="E417" t="s">
        <v>30</v>
      </c>
      <c r="F417">
        <v>2.2000000000000002</v>
      </c>
      <c r="G417">
        <v>4</v>
      </c>
      <c r="H417">
        <v>77.099999999999994</v>
      </c>
      <c r="I417">
        <v>0.63</v>
      </c>
      <c r="J417" t="s">
        <v>28</v>
      </c>
      <c r="K417">
        <v>10</v>
      </c>
      <c r="L417">
        <v>11</v>
      </c>
      <c r="M417">
        <v>0.92</v>
      </c>
      <c r="N417">
        <v>10</v>
      </c>
      <c r="O417">
        <v>0.8</v>
      </c>
      <c r="P417" t="s">
        <v>19</v>
      </c>
    </row>
    <row r="418" spans="1:16" x14ac:dyDescent="0.35">
      <c r="A418" t="s">
        <v>444</v>
      </c>
      <c r="B418">
        <v>417</v>
      </c>
      <c r="C418">
        <v>22</v>
      </c>
      <c r="D418" t="s">
        <v>21</v>
      </c>
      <c r="E418" t="s">
        <v>30</v>
      </c>
      <c r="F418">
        <v>3.12</v>
      </c>
      <c r="G418">
        <v>5</v>
      </c>
      <c r="H418">
        <v>61.1</v>
      </c>
      <c r="I418">
        <v>0.96</v>
      </c>
      <c r="J418" t="s">
        <v>23</v>
      </c>
      <c r="K418">
        <v>25</v>
      </c>
      <c r="L418">
        <v>26</v>
      </c>
      <c r="M418">
        <v>0.98</v>
      </c>
      <c r="N418">
        <v>8</v>
      </c>
      <c r="O418">
        <v>0.59</v>
      </c>
      <c r="P418" t="s">
        <v>41</v>
      </c>
    </row>
    <row r="419" spans="1:16" x14ac:dyDescent="0.35">
      <c r="A419" t="s">
        <v>445</v>
      </c>
      <c r="B419">
        <v>418</v>
      </c>
      <c r="C419">
        <v>19</v>
      </c>
      <c r="D419" t="s">
        <v>32</v>
      </c>
      <c r="E419" t="s">
        <v>30</v>
      </c>
      <c r="F419">
        <v>3</v>
      </c>
      <c r="G419">
        <v>3</v>
      </c>
      <c r="H419">
        <v>91.3</v>
      </c>
      <c r="I419">
        <v>0.68</v>
      </c>
      <c r="J419" t="s">
        <v>23</v>
      </c>
      <c r="K419">
        <v>39</v>
      </c>
      <c r="L419">
        <v>61</v>
      </c>
      <c r="M419">
        <v>0.98</v>
      </c>
      <c r="N419">
        <v>5</v>
      </c>
      <c r="O419">
        <v>0.64</v>
      </c>
      <c r="P419" t="s">
        <v>19</v>
      </c>
    </row>
    <row r="420" spans="1:16" x14ac:dyDescent="0.35">
      <c r="A420" t="s">
        <v>446</v>
      </c>
      <c r="B420">
        <v>419</v>
      </c>
      <c r="C420">
        <v>25</v>
      </c>
      <c r="D420" t="s">
        <v>21</v>
      </c>
      <c r="E420" t="s">
        <v>22</v>
      </c>
      <c r="F420">
        <v>3.41</v>
      </c>
      <c r="G420">
        <v>4</v>
      </c>
      <c r="H420">
        <v>60.4</v>
      </c>
      <c r="I420">
        <v>0.77</v>
      </c>
      <c r="J420" t="s">
        <v>18</v>
      </c>
      <c r="K420">
        <v>0</v>
      </c>
      <c r="L420">
        <v>54</v>
      </c>
      <c r="M420">
        <v>0.72</v>
      </c>
      <c r="N420">
        <v>7</v>
      </c>
      <c r="O420">
        <v>0.7</v>
      </c>
      <c r="P420" t="s">
        <v>24</v>
      </c>
    </row>
    <row r="421" spans="1:16" x14ac:dyDescent="0.35">
      <c r="A421" t="s">
        <v>447</v>
      </c>
      <c r="B421">
        <v>420</v>
      </c>
      <c r="C421">
        <v>23</v>
      </c>
      <c r="D421" t="s">
        <v>21</v>
      </c>
      <c r="E421" t="s">
        <v>46</v>
      </c>
      <c r="F421">
        <v>3.07</v>
      </c>
      <c r="G421">
        <v>5</v>
      </c>
      <c r="H421">
        <v>90.5</v>
      </c>
      <c r="I421">
        <v>0.78</v>
      </c>
      <c r="J421" t="s">
        <v>28</v>
      </c>
      <c r="K421">
        <v>25</v>
      </c>
      <c r="L421">
        <v>46</v>
      </c>
      <c r="M421">
        <v>0.82</v>
      </c>
      <c r="N421">
        <v>8</v>
      </c>
      <c r="O421">
        <v>0.85</v>
      </c>
      <c r="P421" t="s">
        <v>24</v>
      </c>
    </row>
    <row r="422" spans="1:16" x14ac:dyDescent="0.35">
      <c r="A422" t="s">
        <v>448</v>
      </c>
      <c r="B422">
        <v>421</v>
      </c>
      <c r="C422">
        <v>19</v>
      </c>
      <c r="D422" t="s">
        <v>32</v>
      </c>
      <c r="E422" t="s">
        <v>22</v>
      </c>
      <c r="F422">
        <v>3.08</v>
      </c>
      <c r="G422">
        <v>4</v>
      </c>
      <c r="H422">
        <v>95.7</v>
      </c>
      <c r="I422">
        <v>0.84</v>
      </c>
      <c r="J422" t="s">
        <v>18</v>
      </c>
      <c r="K422">
        <v>27</v>
      </c>
      <c r="L422">
        <v>51</v>
      </c>
      <c r="M422">
        <v>0.8</v>
      </c>
      <c r="N422">
        <v>8</v>
      </c>
      <c r="O422">
        <v>0.82</v>
      </c>
      <c r="P422" t="s">
        <v>24</v>
      </c>
    </row>
    <row r="423" spans="1:16" x14ac:dyDescent="0.35">
      <c r="A423" t="s">
        <v>449</v>
      </c>
      <c r="B423">
        <v>422</v>
      </c>
      <c r="C423">
        <v>19</v>
      </c>
      <c r="D423" t="s">
        <v>21</v>
      </c>
      <c r="E423" t="s">
        <v>46</v>
      </c>
      <c r="F423">
        <v>2.86</v>
      </c>
      <c r="G423">
        <v>3</v>
      </c>
      <c r="H423">
        <v>77.3</v>
      </c>
      <c r="I423">
        <v>0.63</v>
      </c>
      <c r="J423" t="s">
        <v>28</v>
      </c>
      <c r="K423">
        <v>8</v>
      </c>
      <c r="L423">
        <v>53</v>
      </c>
      <c r="M423">
        <v>0.68</v>
      </c>
      <c r="N423">
        <v>7</v>
      </c>
      <c r="O423">
        <v>0.77</v>
      </c>
      <c r="P423" t="s">
        <v>19</v>
      </c>
    </row>
    <row r="424" spans="1:16" x14ac:dyDescent="0.35">
      <c r="A424" t="s">
        <v>450</v>
      </c>
      <c r="B424">
        <v>423</v>
      </c>
      <c r="C424">
        <v>23</v>
      </c>
      <c r="D424" t="s">
        <v>21</v>
      </c>
      <c r="E424" t="s">
        <v>22</v>
      </c>
      <c r="F424">
        <v>2.62</v>
      </c>
      <c r="G424">
        <v>4</v>
      </c>
      <c r="H424">
        <v>81.400000000000006</v>
      </c>
      <c r="I424">
        <v>0.69</v>
      </c>
      <c r="J424" t="s">
        <v>28</v>
      </c>
      <c r="K424">
        <v>21</v>
      </c>
      <c r="L424">
        <v>47</v>
      </c>
      <c r="M424">
        <v>0.72</v>
      </c>
      <c r="N424">
        <v>11</v>
      </c>
      <c r="O424">
        <v>0.88</v>
      </c>
      <c r="P424" t="s">
        <v>19</v>
      </c>
    </row>
    <row r="425" spans="1:16" x14ac:dyDescent="0.35">
      <c r="A425" t="s">
        <v>451</v>
      </c>
      <c r="B425">
        <v>424</v>
      </c>
      <c r="C425">
        <v>20</v>
      </c>
      <c r="D425" t="s">
        <v>32</v>
      </c>
      <c r="E425" t="s">
        <v>22</v>
      </c>
      <c r="F425">
        <v>2.96</v>
      </c>
      <c r="G425">
        <v>3</v>
      </c>
      <c r="H425">
        <v>79.099999999999994</v>
      </c>
      <c r="I425">
        <v>0.97</v>
      </c>
      <c r="J425" t="s">
        <v>28</v>
      </c>
      <c r="K425">
        <v>7</v>
      </c>
      <c r="L425">
        <v>15</v>
      </c>
      <c r="M425">
        <v>0.53</v>
      </c>
      <c r="N425">
        <v>7</v>
      </c>
      <c r="O425">
        <v>0.88</v>
      </c>
      <c r="P425" t="s">
        <v>24</v>
      </c>
    </row>
    <row r="426" spans="1:16" x14ac:dyDescent="0.35">
      <c r="A426" t="s">
        <v>452</v>
      </c>
      <c r="B426">
        <v>425</v>
      </c>
      <c r="C426">
        <v>25</v>
      </c>
      <c r="D426" t="s">
        <v>32</v>
      </c>
      <c r="E426" t="s">
        <v>46</v>
      </c>
      <c r="F426">
        <v>2.2400000000000002</v>
      </c>
      <c r="G426">
        <v>4</v>
      </c>
      <c r="H426">
        <v>75.599999999999994</v>
      </c>
      <c r="I426">
        <v>0.96</v>
      </c>
      <c r="J426" t="s">
        <v>18</v>
      </c>
      <c r="K426">
        <v>26</v>
      </c>
      <c r="L426">
        <v>77</v>
      </c>
      <c r="M426">
        <v>0.9</v>
      </c>
      <c r="N426">
        <v>2</v>
      </c>
      <c r="O426">
        <v>0.81</v>
      </c>
      <c r="P426" t="s">
        <v>19</v>
      </c>
    </row>
    <row r="427" spans="1:16" x14ac:dyDescent="0.35">
      <c r="A427" t="s">
        <v>453</v>
      </c>
      <c r="B427">
        <v>426</v>
      </c>
      <c r="C427">
        <v>22</v>
      </c>
      <c r="D427" t="s">
        <v>32</v>
      </c>
      <c r="E427" t="s">
        <v>30</v>
      </c>
      <c r="F427">
        <v>3.92</v>
      </c>
      <c r="G427">
        <v>3</v>
      </c>
      <c r="H427">
        <v>95.5</v>
      </c>
      <c r="I427">
        <v>0.91</v>
      </c>
      <c r="J427" t="s">
        <v>18</v>
      </c>
      <c r="K427">
        <v>38</v>
      </c>
      <c r="L427">
        <v>60</v>
      </c>
      <c r="M427">
        <v>0.62</v>
      </c>
      <c r="N427">
        <v>12</v>
      </c>
      <c r="O427">
        <v>0.89</v>
      </c>
      <c r="P427" t="s">
        <v>41</v>
      </c>
    </row>
    <row r="428" spans="1:16" x14ac:dyDescent="0.35">
      <c r="A428" t="s">
        <v>454</v>
      </c>
      <c r="B428">
        <v>427</v>
      </c>
      <c r="C428">
        <v>18</v>
      </c>
      <c r="D428" t="s">
        <v>16</v>
      </c>
      <c r="E428" t="s">
        <v>46</v>
      </c>
      <c r="F428">
        <v>3.43</v>
      </c>
      <c r="G428">
        <v>4</v>
      </c>
      <c r="H428">
        <v>95.8</v>
      </c>
      <c r="I428">
        <v>0.61</v>
      </c>
      <c r="J428" t="s">
        <v>18</v>
      </c>
      <c r="K428">
        <v>18</v>
      </c>
      <c r="L428">
        <v>44</v>
      </c>
      <c r="M428">
        <v>0.73</v>
      </c>
      <c r="N428">
        <v>18</v>
      </c>
      <c r="O428">
        <v>0.67</v>
      </c>
      <c r="P428" t="s">
        <v>19</v>
      </c>
    </row>
    <row r="429" spans="1:16" x14ac:dyDescent="0.35">
      <c r="A429" t="s">
        <v>455</v>
      </c>
      <c r="B429">
        <v>428</v>
      </c>
      <c r="C429">
        <v>21</v>
      </c>
      <c r="D429" t="s">
        <v>16</v>
      </c>
      <c r="E429" t="s">
        <v>17</v>
      </c>
      <c r="F429">
        <v>3.9</v>
      </c>
      <c r="G429">
        <v>3</v>
      </c>
      <c r="H429">
        <v>73.400000000000006</v>
      </c>
      <c r="I429">
        <v>0.73</v>
      </c>
      <c r="J429" t="s">
        <v>18</v>
      </c>
      <c r="K429">
        <v>24</v>
      </c>
      <c r="L429">
        <v>67</v>
      </c>
      <c r="M429">
        <v>0.74</v>
      </c>
      <c r="N429">
        <v>1</v>
      </c>
      <c r="O429">
        <v>0.94</v>
      </c>
      <c r="P429" t="s">
        <v>19</v>
      </c>
    </row>
    <row r="430" spans="1:16" x14ac:dyDescent="0.35">
      <c r="A430" t="s">
        <v>456</v>
      </c>
      <c r="B430">
        <v>429</v>
      </c>
      <c r="C430">
        <v>18</v>
      </c>
      <c r="D430" t="s">
        <v>32</v>
      </c>
      <c r="E430" t="s">
        <v>17</v>
      </c>
      <c r="F430">
        <v>2.4500000000000002</v>
      </c>
      <c r="G430">
        <v>6</v>
      </c>
      <c r="H430">
        <v>84.6</v>
      </c>
      <c r="I430">
        <v>0.85</v>
      </c>
      <c r="J430" t="s">
        <v>23</v>
      </c>
      <c r="K430">
        <v>37</v>
      </c>
      <c r="L430">
        <v>66</v>
      </c>
      <c r="M430">
        <v>0.78</v>
      </c>
      <c r="N430">
        <v>16</v>
      </c>
      <c r="O430">
        <v>0.81</v>
      </c>
      <c r="P430" t="s">
        <v>19</v>
      </c>
    </row>
    <row r="431" spans="1:16" x14ac:dyDescent="0.35">
      <c r="A431" t="s">
        <v>457</v>
      </c>
      <c r="B431">
        <v>430</v>
      </c>
      <c r="C431">
        <v>21</v>
      </c>
      <c r="D431" t="s">
        <v>32</v>
      </c>
      <c r="E431" t="s">
        <v>46</v>
      </c>
      <c r="F431">
        <v>3.76</v>
      </c>
      <c r="G431">
        <v>4</v>
      </c>
      <c r="H431">
        <v>97.1</v>
      </c>
      <c r="I431">
        <v>0.71</v>
      </c>
      <c r="J431" t="s">
        <v>23</v>
      </c>
      <c r="K431">
        <v>20</v>
      </c>
      <c r="L431">
        <v>82</v>
      </c>
      <c r="M431">
        <v>0.91</v>
      </c>
      <c r="N431">
        <v>15</v>
      </c>
      <c r="O431">
        <v>0.91</v>
      </c>
      <c r="P431" t="s">
        <v>19</v>
      </c>
    </row>
    <row r="432" spans="1:16" x14ac:dyDescent="0.35">
      <c r="A432" t="s">
        <v>458</v>
      </c>
      <c r="B432">
        <v>431</v>
      </c>
      <c r="C432">
        <v>18</v>
      </c>
      <c r="D432" t="s">
        <v>32</v>
      </c>
      <c r="E432" t="s">
        <v>22</v>
      </c>
      <c r="F432">
        <v>3.62</v>
      </c>
      <c r="G432">
        <v>4</v>
      </c>
      <c r="H432">
        <v>98.5</v>
      </c>
      <c r="I432">
        <v>0.96</v>
      </c>
      <c r="J432" t="s">
        <v>23</v>
      </c>
      <c r="K432">
        <v>23</v>
      </c>
      <c r="L432">
        <v>15</v>
      </c>
      <c r="M432">
        <v>0.85</v>
      </c>
      <c r="N432">
        <v>3</v>
      </c>
      <c r="O432">
        <v>0.77</v>
      </c>
      <c r="P432" t="s">
        <v>41</v>
      </c>
    </row>
    <row r="433" spans="1:16" x14ac:dyDescent="0.35">
      <c r="A433" t="s">
        <v>459</v>
      </c>
      <c r="B433">
        <v>432</v>
      </c>
      <c r="C433">
        <v>23</v>
      </c>
      <c r="D433" t="s">
        <v>16</v>
      </c>
      <c r="E433" t="s">
        <v>17</v>
      </c>
      <c r="F433">
        <v>3.35</v>
      </c>
      <c r="G433">
        <v>5</v>
      </c>
      <c r="H433">
        <v>80.400000000000006</v>
      </c>
      <c r="I433">
        <v>0.85</v>
      </c>
      <c r="J433" t="s">
        <v>28</v>
      </c>
      <c r="K433">
        <v>23</v>
      </c>
      <c r="L433">
        <v>22</v>
      </c>
      <c r="M433">
        <v>0.83</v>
      </c>
      <c r="N433">
        <v>17</v>
      </c>
      <c r="O433">
        <v>0.61</v>
      </c>
      <c r="P433" t="s">
        <v>41</v>
      </c>
    </row>
    <row r="434" spans="1:16" x14ac:dyDescent="0.35">
      <c r="A434" t="s">
        <v>460</v>
      </c>
      <c r="B434">
        <v>433</v>
      </c>
      <c r="C434">
        <v>22</v>
      </c>
      <c r="D434" t="s">
        <v>16</v>
      </c>
      <c r="E434" t="s">
        <v>17</v>
      </c>
      <c r="F434">
        <v>3.25</v>
      </c>
      <c r="G434">
        <v>5</v>
      </c>
      <c r="H434">
        <v>78.099999999999994</v>
      </c>
      <c r="I434">
        <v>0.63</v>
      </c>
      <c r="J434" t="s">
        <v>23</v>
      </c>
      <c r="K434">
        <v>18</v>
      </c>
      <c r="L434">
        <v>68</v>
      </c>
      <c r="M434">
        <v>0.76</v>
      </c>
      <c r="N434">
        <v>13</v>
      </c>
      <c r="O434">
        <v>0.77</v>
      </c>
      <c r="P434" t="s">
        <v>19</v>
      </c>
    </row>
    <row r="435" spans="1:16" x14ac:dyDescent="0.35">
      <c r="A435" t="s">
        <v>461</v>
      </c>
      <c r="B435">
        <v>434</v>
      </c>
      <c r="C435">
        <v>25</v>
      </c>
      <c r="D435" t="s">
        <v>21</v>
      </c>
      <c r="E435" t="s">
        <v>22</v>
      </c>
      <c r="F435">
        <v>2.63</v>
      </c>
      <c r="G435">
        <v>3</v>
      </c>
      <c r="H435">
        <v>71.099999999999994</v>
      </c>
      <c r="I435">
        <v>0.96</v>
      </c>
      <c r="J435" t="s">
        <v>28</v>
      </c>
      <c r="K435">
        <v>1</v>
      </c>
      <c r="L435">
        <v>39</v>
      </c>
      <c r="M435">
        <v>0.55000000000000004</v>
      </c>
      <c r="N435">
        <v>1</v>
      </c>
      <c r="O435">
        <v>0.69</v>
      </c>
      <c r="P435" t="s">
        <v>24</v>
      </c>
    </row>
    <row r="436" spans="1:16" x14ac:dyDescent="0.35">
      <c r="A436" t="s">
        <v>462</v>
      </c>
      <c r="B436">
        <v>435</v>
      </c>
      <c r="C436">
        <v>21</v>
      </c>
      <c r="D436" t="s">
        <v>21</v>
      </c>
      <c r="E436" t="s">
        <v>22</v>
      </c>
      <c r="F436">
        <v>3.63</v>
      </c>
      <c r="G436">
        <v>4</v>
      </c>
      <c r="H436">
        <v>98.4</v>
      </c>
      <c r="I436">
        <v>0.98</v>
      </c>
      <c r="J436" t="s">
        <v>18</v>
      </c>
      <c r="K436">
        <v>13</v>
      </c>
      <c r="L436">
        <v>11</v>
      </c>
      <c r="M436">
        <v>0.7</v>
      </c>
      <c r="N436">
        <v>12</v>
      </c>
      <c r="O436">
        <v>0.85</v>
      </c>
      <c r="P436" t="s">
        <v>41</v>
      </c>
    </row>
    <row r="437" spans="1:16" x14ac:dyDescent="0.35">
      <c r="A437" t="s">
        <v>463</v>
      </c>
      <c r="B437">
        <v>436</v>
      </c>
      <c r="C437">
        <v>25</v>
      </c>
      <c r="D437" t="s">
        <v>32</v>
      </c>
      <c r="E437" t="s">
        <v>30</v>
      </c>
      <c r="F437">
        <v>3</v>
      </c>
      <c r="G437">
        <v>3</v>
      </c>
      <c r="H437">
        <v>65.7</v>
      </c>
      <c r="I437">
        <v>0.63</v>
      </c>
      <c r="J437" t="s">
        <v>28</v>
      </c>
      <c r="K437">
        <v>31</v>
      </c>
      <c r="L437">
        <v>67</v>
      </c>
      <c r="M437">
        <v>0.98</v>
      </c>
      <c r="N437">
        <v>19</v>
      </c>
      <c r="O437">
        <v>0.74</v>
      </c>
      <c r="P437" t="s">
        <v>19</v>
      </c>
    </row>
    <row r="438" spans="1:16" x14ac:dyDescent="0.35">
      <c r="A438" t="s">
        <v>464</v>
      </c>
      <c r="B438">
        <v>437</v>
      </c>
      <c r="C438">
        <v>25</v>
      </c>
      <c r="D438" t="s">
        <v>16</v>
      </c>
      <c r="E438" t="s">
        <v>22</v>
      </c>
      <c r="F438">
        <v>2.14</v>
      </c>
      <c r="G438">
        <v>6</v>
      </c>
      <c r="H438">
        <v>83.2</v>
      </c>
      <c r="I438">
        <v>0.81</v>
      </c>
      <c r="J438" t="s">
        <v>28</v>
      </c>
      <c r="K438">
        <v>31</v>
      </c>
      <c r="L438">
        <v>45</v>
      </c>
      <c r="M438">
        <v>1</v>
      </c>
      <c r="N438">
        <v>16</v>
      </c>
      <c r="O438">
        <v>0.92</v>
      </c>
      <c r="P438" t="s">
        <v>19</v>
      </c>
    </row>
    <row r="439" spans="1:16" x14ac:dyDescent="0.35">
      <c r="A439" t="s">
        <v>465</v>
      </c>
      <c r="B439">
        <v>438</v>
      </c>
      <c r="C439">
        <v>25</v>
      </c>
      <c r="D439" t="s">
        <v>16</v>
      </c>
      <c r="E439" t="s">
        <v>46</v>
      </c>
      <c r="F439">
        <v>2.63</v>
      </c>
      <c r="G439">
        <v>5</v>
      </c>
      <c r="H439">
        <v>71.3</v>
      </c>
      <c r="I439">
        <v>0.72</v>
      </c>
      <c r="J439" t="s">
        <v>23</v>
      </c>
      <c r="K439">
        <v>27</v>
      </c>
      <c r="L439">
        <v>81</v>
      </c>
      <c r="M439">
        <v>0.87</v>
      </c>
      <c r="N439">
        <v>14</v>
      </c>
      <c r="O439">
        <v>0.84</v>
      </c>
      <c r="P439" t="s">
        <v>19</v>
      </c>
    </row>
    <row r="440" spans="1:16" x14ac:dyDescent="0.35">
      <c r="A440" t="s">
        <v>466</v>
      </c>
      <c r="B440">
        <v>439</v>
      </c>
      <c r="C440">
        <v>24</v>
      </c>
      <c r="D440" t="s">
        <v>16</v>
      </c>
      <c r="E440" t="s">
        <v>46</v>
      </c>
      <c r="F440">
        <v>3.87</v>
      </c>
      <c r="G440">
        <v>3</v>
      </c>
      <c r="H440">
        <v>71.2</v>
      </c>
      <c r="I440">
        <v>0.76</v>
      </c>
      <c r="J440" t="s">
        <v>18</v>
      </c>
      <c r="K440">
        <v>38</v>
      </c>
      <c r="L440">
        <v>54</v>
      </c>
      <c r="M440">
        <v>0.61</v>
      </c>
      <c r="N440">
        <v>19</v>
      </c>
      <c r="O440">
        <v>0.84</v>
      </c>
      <c r="P440" t="s">
        <v>24</v>
      </c>
    </row>
    <row r="441" spans="1:16" x14ac:dyDescent="0.35">
      <c r="A441" t="s">
        <v>467</v>
      </c>
      <c r="B441">
        <v>440</v>
      </c>
      <c r="C441">
        <v>20</v>
      </c>
      <c r="D441" t="s">
        <v>32</v>
      </c>
      <c r="E441" t="s">
        <v>30</v>
      </c>
      <c r="F441">
        <v>3.7</v>
      </c>
      <c r="G441">
        <v>3</v>
      </c>
      <c r="H441">
        <v>76.2</v>
      </c>
      <c r="I441">
        <v>0.67</v>
      </c>
      <c r="J441" t="s">
        <v>18</v>
      </c>
      <c r="K441">
        <v>39</v>
      </c>
      <c r="L441">
        <v>18</v>
      </c>
      <c r="M441">
        <v>0.55000000000000004</v>
      </c>
      <c r="N441">
        <v>4</v>
      </c>
      <c r="O441">
        <v>0.61</v>
      </c>
      <c r="P441" t="s">
        <v>19</v>
      </c>
    </row>
    <row r="442" spans="1:16" x14ac:dyDescent="0.35">
      <c r="A442" t="s">
        <v>468</v>
      </c>
      <c r="B442">
        <v>441</v>
      </c>
      <c r="C442">
        <v>18</v>
      </c>
      <c r="D442" t="s">
        <v>21</v>
      </c>
      <c r="E442" t="s">
        <v>17</v>
      </c>
      <c r="F442">
        <v>3.96</v>
      </c>
      <c r="G442">
        <v>5</v>
      </c>
      <c r="H442">
        <v>100</v>
      </c>
      <c r="I442">
        <v>0.83</v>
      </c>
      <c r="J442" t="s">
        <v>23</v>
      </c>
      <c r="K442">
        <v>39</v>
      </c>
      <c r="L442">
        <v>74</v>
      </c>
      <c r="M442">
        <v>0.71</v>
      </c>
      <c r="N442">
        <v>6</v>
      </c>
      <c r="O442">
        <v>0.99</v>
      </c>
      <c r="P442" t="s">
        <v>24</v>
      </c>
    </row>
    <row r="443" spans="1:16" x14ac:dyDescent="0.35">
      <c r="A443" t="s">
        <v>469</v>
      </c>
      <c r="B443">
        <v>442</v>
      </c>
      <c r="C443">
        <v>25</v>
      </c>
      <c r="D443" t="s">
        <v>32</v>
      </c>
      <c r="E443" t="s">
        <v>17</v>
      </c>
      <c r="F443">
        <v>3.26</v>
      </c>
      <c r="G443">
        <v>4</v>
      </c>
      <c r="H443">
        <v>62.2</v>
      </c>
      <c r="I443">
        <v>0.98</v>
      </c>
      <c r="J443" t="s">
        <v>18</v>
      </c>
      <c r="K443">
        <v>12</v>
      </c>
      <c r="L443">
        <v>86</v>
      </c>
      <c r="M443">
        <v>0.93</v>
      </c>
      <c r="N443">
        <v>17</v>
      </c>
      <c r="O443">
        <v>0.92</v>
      </c>
      <c r="P443" t="s">
        <v>41</v>
      </c>
    </row>
    <row r="444" spans="1:16" x14ac:dyDescent="0.35">
      <c r="A444" t="s">
        <v>470</v>
      </c>
      <c r="B444">
        <v>443</v>
      </c>
      <c r="C444">
        <v>18</v>
      </c>
      <c r="D444" t="s">
        <v>21</v>
      </c>
      <c r="E444" t="s">
        <v>22</v>
      </c>
      <c r="F444">
        <v>2.5</v>
      </c>
      <c r="G444">
        <v>3</v>
      </c>
      <c r="H444">
        <v>83.1</v>
      </c>
      <c r="I444">
        <v>0.8</v>
      </c>
      <c r="J444" t="s">
        <v>18</v>
      </c>
      <c r="K444">
        <v>11</v>
      </c>
      <c r="L444">
        <v>59</v>
      </c>
      <c r="M444">
        <v>0.86</v>
      </c>
      <c r="N444">
        <v>10</v>
      </c>
      <c r="O444">
        <v>0.89</v>
      </c>
      <c r="P444" t="s">
        <v>24</v>
      </c>
    </row>
    <row r="445" spans="1:16" x14ac:dyDescent="0.35">
      <c r="A445" t="s">
        <v>471</v>
      </c>
      <c r="B445">
        <v>444</v>
      </c>
      <c r="C445">
        <v>25</v>
      </c>
      <c r="D445" t="s">
        <v>21</v>
      </c>
      <c r="E445" t="s">
        <v>46</v>
      </c>
      <c r="F445">
        <v>2.33</v>
      </c>
      <c r="G445">
        <v>5</v>
      </c>
      <c r="H445">
        <v>63.3</v>
      </c>
      <c r="I445">
        <v>0.63</v>
      </c>
      <c r="J445" t="s">
        <v>18</v>
      </c>
      <c r="K445">
        <v>7</v>
      </c>
      <c r="L445">
        <v>88</v>
      </c>
      <c r="M445">
        <v>0.94</v>
      </c>
      <c r="N445">
        <v>17</v>
      </c>
      <c r="O445">
        <v>0.67</v>
      </c>
      <c r="P445" t="s">
        <v>19</v>
      </c>
    </row>
    <row r="446" spans="1:16" x14ac:dyDescent="0.35">
      <c r="A446" t="s">
        <v>472</v>
      </c>
      <c r="B446">
        <v>445</v>
      </c>
      <c r="C446">
        <v>21</v>
      </c>
      <c r="D446" t="s">
        <v>32</v>
      </c>
      <c r="E446" t="s">
        <v>17</v>
      </c>
      <c r="F446">
        <v>2.37</v>
      </c>
      <c r="G446">
        <v>4</v>
      </c>
      <c r="H446">
        <v>66.2</v>
      </c>
      <c r="I446">
        <v>0.85</v>
      </c>
      <c r="J446" t="s">
        <v>23</v>
      </c>
      <c r="K446">
        <v>14</v>
      </c>
      <c r="L446">
        <v>41</v>
      </c>
      <c r="M446">
        <v>0.81</v>
      </c>
      <c r="N446">
        <v>4</v>
      </c>
      <c r="O446">
        <v>0.77</v>
      </c>
      <c r="P446" t="s">
        <v>19</v>
      </c>
    </row>
    <row r="447" spans="1:16" x14ac:dyDescent="0.35">
      <c r="A447" t="s">
        <v>473</v>
      </c>
      <c r="B447">
        <v>446</v>
      </c>
      <c r="C447">
        <v>20</v>
      </c>
      <c r="D447" t="s">
        <v>21</v>
      </c>
      <c r="E447" t="s">
        <v>30</v>
      </c>
      <c r="F447">
        <v>2.04</v>
      </c>
      <c r="G447">
        <v>6</v>
      </c>
      <c r="H447">
        <v>77.599999999999994</v>
      </c>
      <c r="I447">
        <v>0.74</v>
      </c>
      <c r="J447" t="s">
        <v>18</v>
      </c>
      <c r="K447">
        <v>25</v>
      </c>
      <c r="L447">
        <v>52</v>
      </c>
      <c r="M447">
        <v>0.56999999999999995</v>
      </c>
      <c r="N447">
        <v>12</v>
      </c>
      <c r="O447">
        <v>0.56999999999999995</v>
      </c>
      <c r="P447" t="s">
        <v>19</v>
      </c>
    </row>
    <row r="448" spans="1:16" x14ac:dyDescent="0.35">
      <c r="A448" t="s">
        <v>474</v>
      </c>
      <c r="B448">
        <v>447</v>
      </c>
      <c r="C448">
        <v>20</v>
      </c>
      <c r="D448" t="s">
        <v>21</v>
      </c>
      <c r="E448" t="s">
        <v>30</v>
      </c>
      <c r="F448">
        <v>2.78</v>
      </c>
      <c r="G448">
        <v>5</v>
      </c>
      <c r="H448">
        <v>80.400000000000006</v>
      </c>
      <c r="I448">
        <v>0.94</v>
      </c>
      <c r="J448" t="s">
        <v>28</v>
      </c>
      <c r="K448">
        <v>11</v>
      </c>
      <c r="L448">
        <v>87</v>
      </c>
      <c r="M448">
        <v>0.56000000000000005</v>
      </c>
      <c r="N448">
        <v>17</v>
      </c>
      <c r="O448">
        <v>0.77</v>
      </c>
      <c r="P448" t="s">
        <v>24</v>
      </c>
    </row>
    <row r="449" spans="1:16" x14ac:dyDescent="0.35">
      <c r="A449" t="s">
        <v>475</v>
      </c>
      <c r="B449">
        <v>448</v>
      </c>
      <c r="C449">
        <v>23</v>
      </c>
      <c r="D449" t="s">
        <v>16</v>
      </c>
      <c r="E449" t="s">
        <v>46</v>
      </c>
      <c r="F449">
        <v>2.38</v>
      </c>
      <c r="G449">
        <v>3</v>
      </c>
      <c r="H449">
        <v>70.400000000000006</v>
      </c>
      <c r="I449">
        <v>0.77</v>
      </c>
      <c r="J449" t="s">
        <v>28</v>
      </c>
      <c r="K449">
        <v>26</v>
      </c>
      <c r="L449">
        <v>63</v>
      </c>
      <c r="M449">
        <v>0.52</v>
      </c>
      <c r="N449">
        <v>1</v>
      </c>
      <c r="O449">
        <v>0.56999999999999995</v>
      </c>
      <c r="P449" t="s">
        <v>19</v>
      </c>
    </row>
    <row r="450" spans="1:16" x14ac:dyDescent="0.35">
      <c r="A450" t="s">
        <v>476</v>
      </c>
      <c r="B450">
        <v>449</v>
      </c>
      <c r="C450">
        <v>24</v>
      </c>
      <c r="D450" t="s">
        <v>21</v>
      </c>
      <c r="E450" t="s">
        <v>30</v>
      </c>
      <c r="F450">
        <v>2.82</v>
      </c>
      <c r="G450">
        <v>6</v>
      </c>
      <c r="H450">
        <v>72.7</v>
      </c>
      <c r="I450">
        <v>0.68</v>
      </c>
      <c r="J450" t="s">
        <v>18</v>
      </c>
      <c r="K450">
        <v>17</v>
      </c>
      <c r="L450">
        <v>56</v>
      </c>
      <c r="M450">
        <v>0.78</v>
      </c>
      <c r="N450">
        <v>19</v>
      </c>
      <c r="O450">
        <v>0.78</v>
      </c>
      <c r="P450" t="s">
        <v>19</v>
      </c>
    </row>
    <row r="451" spans="1:16" x14ac:dyDescent="0.35">
      <c r="A451" t="s">
        <v>477</v>
      </c>
      <c r="B451">
        <v>450</v>
      </c>
      <c r="C451">
        <v>23</v>
      </c>
      <c r="D451" t="s">
        <v>32</v>
      </c>
      <c r="E451" t="s">
        <v>30</v>
      </c>
      <c r="F451">
        <v>3.87</v>
      </c>
      <c r="G451">
        <v>4</v>
      </c>
      <c r="H451">
        <v>63.5</v>
      </c>
      <c r="I451">
        <v>0.68</v>
      </c>
      <c r="J451" t="s">
        <v>23</v>
      </c>
      <c r="K451">
        <v>35</v>
      </c>
      <c r="L451">
        <v>23</v>
      </c>
      <c r="M451">
        <v>0.62</v>
      </c>
      <c r="N451">
        <v>3</v>
      </c>
      <c r="O451">
        <v>0.82</v>
      </c>
      <c r="P451" t="s">
        <v>19</v>
      </c>
    </row>
    <row r="452" spans="1:16" x14ac:dyDescent="0.35">
      <c r="A452" t="s">
        <v>478</v>
      </c>
      <c r="B452">
        <v>451</v>
      </c>
      <c r="C452">
        <v>23</v>
      </c>
      <c r="D452" t="s">
        <v>32</v>
      </c>
      <c r="E452" t="s">
        <v>46</v>
      </c>
      <c r="F452">
        <v>2.86</v>
      </c>
      <c r="G452">
        <v>4</v>
      </c>
      <c r="H452">
        <v>72.099999999999994</v>
      </c>
      <c r="I452">
        <v>0.91</v>
      </c>
      <c r="J452" t="s">
        <v>23</v>
      </c>
      <c r="K452">
        <v>26</v>
      </c>
      <c r="L452">
        <v>57</v>
      </c>
      <c r="M452">
        <v>0.87</v>
      </c>
      <c r="N452">
        <v>12</v>
      </c>
      <c r="O452">
        <v>0.7</v>
      </c>
      <c r="P452" t="s">
        <v>24</v>
      </c>
    </row>
    <row r="453" spans="1:16" x14ac:dyDescent="0.35">
      <c r="A453" t="s">
        <v>479</v>
      </c>
      <c r="B453">
        <v>452</v>
      </c>
      <c r="C453">
        <v>23</v>
      </c>
      <c r="D453" t="s">
        <v>21</v>
      </c>
      <c r="E453" t="s">
        <v>22</v>
      </c>
      <c r="F453">
        <v>3.76</v>
      </c>
      <c r="G453">
        <v>5</v>
      </c>
      <c r="H453">
        <v>98.7</v>
      </c>
      <c r="I453">
        <v>0.71</v>
      </c>
      <c r="J453" t="s">
        <v>23</v>
      </c>
      <c r="K453">
        <v>8</v>
      </c>
      <c r="L453">
        <v>64</v>
      </c>
      <c r="M453">
        <v>0.84</v>
      </c>
      <c r="N453">
        <v>15</v>
      </c>
      <c r="O453">
        <v>0.75</v>
      </c>
      <c r="P453" t="s">
        <v>19</v>
      </c>
    </row>
    <row r="454" spans="1:16" x14ac:dyDescent="0.35">
      <c r="A454" t="s">
        <v>480</v>
      </c>
      <c r="B454">
        <v>453</v>
      </c>
      <c r="C454">
        <v>23</v>
      </c>
      <c r="D454" t="s">
        <v>16</v>
      </c>
      <c r="E454" t="s">
        <v>22</v>
      </c>
      <c r="F454">
        <v>3.21</v>
      </c>
      <c r="G454">
        <v>5</v>
      </c>
      <c r="H454">
        <v>97.8</v>
      </c>
      <c r="I454">
        <v>0.91</v>
      </c>
      <c r="J454" t="s">
        <v>18</v>
      </c>
      <c r="K454">
        <v>38</v>
      </c>
      <c r="L454">
        <v>38</v>
      </c>
      <c r="M454">
        <v>0.66</v>
      </c>
      <c r="N454">
        <v>5</v>
      </c>
      <c r="O454">
        <v>0.94</v>
      </c>
      <c r="P454" t="s">
        <v>41</v>
      </c>
    </row>
    <row r="455" spans="1:16" x14ac:dyDescent="0.35">
      <c r="A455" t="s">
        <v>481</v>
      </c>
      <c r="B455">
        <v>454</v>
      </c>
      <c r="C455">
        <v>23</v>
      </c>
      <c r="D455" t="s">
        <v>16</v>
      </c>
      <c r="E455" t="s">
        <v>30</v>
      </c>
      <c r="F455">
        <v>2.4900000000000002</v>
      </c>
      <c r="G455">
        <v>5</v>
      </c>
      <c r="H455">
        <v>73.400000000000006</v>
      </c>
      <c r="I455">
        <v>0.68</v>
      </c>
      <c r="J455" t="s">
        <v>18</v>
      </c>
      <c r="K455">
        <v>0</v>
      </c>
      <c r="L455">
        <v>56</v>
      </c>
      <c r="M455">
        <v>0.59</v>
      </c>
      <c r="N455">
        <v>7</v>
      </c>
      <c r="O455">
        <v>0.55000000000000004</v>
      </c>
      <c r="P455" t="s">
        <v>19</v>
      </c>
    </row>
    <row r="456" spans="1:16" x14ac:dyDescent="0.35">
      <c r="A456" t="s">
        <v>482</v>
      </c>
      <c r="B456">
        <v>455</v>
      </c>
      <c r="C456">
        <v>22</v>
      </c>
      <c r="D456" t="s">
        <v>21</v>
      </c>
      <c r="E456" t="s">
        <v>22</v>
      </c>
      <c r="F456">
        <v>2.71</v>
      </c>
      <c r="G456">
        <v>4</v>
      </c>
      <c r="H456">
        <v>82.8</v>
      </c>
      <c r="I456">
        <v>0.73</v>
      </c>
      <c r="J456" t="s">
        <v>28</v>
      </c>
      <c r="K456">
        <v>6</v>
      </c>
      <c r="L456">
        <v>72</v>
      </c>
      <c r="M456">
        <v>0.55000000000000004</v>
      </c>
      <c r="N456">
        <v>15</v>
      </c>
      <c r="O456">
        <v>0.9</v>
      </c>
      <c r="P456" t="s">
        <v>19</v>
      </c>
    </row>
    <row r="457" spans="1:16" x14ac:dyDescent="0.35">
      <c r="A457" t="s">
        <v>483</v>
      </c>
      <c r="B457">
        <v>456</v>
      </c>
      <c r="C457">
        <v>20</v>
      </c>
      <c r="D457" t="s">
        <v>21</v>
      </c>
      <c r="E457" t="s">
        <v>22</v>
      </c>
      <c r="F457">
        <v>2.17</v>
      </c>
      <c r="G457">
        <v>6</v>
      </c>
      <c r="H457">
        <v>96.4</v>
      </c>
      <c r="I457">
        <v>0.79</v>
      </c>
      <c r="J457" t="s">
        <v>23</v>
      </c>
      <c r="K457">
        <v>25</v>
      </c>
      <c r="L457">
        <v>28</v>
      </c>
      <c r="M457">
        <v>0.87</v>
      </c>
      <c r="N457">
        <v>12</v>
      </c>
      <c r="O457">
        <v>0.59</v>
      </c>
      <c r="P457" t="s">
        <v>19</v>
      </c>
    </row>
    <row r="458" spans="1:16" x14ac:dyDescent="0.35">
      <c r="A458" t="s">
        <v>484</v>
      </c>
      <c r="B458">
        <v>457</v>
      </c>
      <c r="C458">
        <v>23</v>
      </c>
      <c r="D458" t="s">
        <v>32</v>
      </c>
      <c r="E458" t="s">
        <v>30</v>
      </c>
      <c r="F458">
        <v>2.67</v>
      </c>
      <c r="G458">
        <v>4</v>
      </c>
      <c r="H458">
        <v>60.2</v>
      </c>
      <c r="I458">
        <v>0.98</v>
      </c>
      <c r="J458" t="s">
        <v>28</v>
      </c>
      <c r="K458">
        <v>6</v>
      </c>
      <c r="L458">
        <v>18</v>
      </c>
      <c r="M458">
        <v>0.73</v>
      </c>
      <c r="N458">
        <v>3</v>
      </c>
      <c r="O458">
        <v>0.52</v>
      </c>
      <c r="P458" t="s">
        <v>24</v>
      </c>
    </row>
    <row r="459" spans="1:16" x14ac:dyDescent="0.35">
      <c r="A459" t="s">
        <v>485</v>
      </c>
      <c r="B459">
        <v>458</v>
      </c>
      <c r="C459">
        <v>25</v>
      </c>
      <c r="D459" t="s">
        <v>21</v>
      </c>
      <c r="E459" t="s">
        <v>22</v>
      </c>
      <c r="F459">
        <v>3.36</v>
      </c>
      <c r="G459">
        <v>3</v>
      </c>
      <c r="H459">
        <v>92.4</v>
      </c>
      <c r="I459">
        <v>0.97</v>
      </c>
      <c r="J459" t="s">
        <v>28</v>
      </c>
      <c r="K459">
        <v>6</v>
      </c>
      <c r="L459">
        <v>46</v>
      </c>
      <c r="M459">
        <v>0.66</v>
      </c>
      <c r="N459">
        <v>1</v>
      </c>
      <c r="O459">
        <v>0.59</v>
      </c>
      <c r="P459" t="s">
        <v>41</v>
      </c>
    </row>
    <row r="460" spans="1:16" x14ac:dyDescent="0.35">
      <c r="A460" t="s">
        <v>486</v>
      </c>
      <c r="B460">
        <v>459</v>
      </c>
      <c r="C460">
        <v>20</v>
      </c>
      <c r="D460" t="s">
        <v>16</v>
      </c>
      <c r="E460" t="s">
        <v>30</v>
      </c>
      <c r="F460">
        <v>2.14</v>
      </c>
      <c r="G460">
        <v>4</v>
      </c>
      <c r="H460">
        <v>97.9</v>
      </c>
      <c r="I460">
        <v>0.68</v>
      </c>
      <c r="J460" t="s">
        <v>23</v>
      </c>
      <c r="K460">
        <v>7</v>
      </c>
      <c r="L460">
        <v>61</v>
      </c>
      <c r="M460">
        <v>0.93</v>
      </c>
      <c r="N460">
        <v>8</v>
      </c>
      <c r="O460">
        <v>0.88</v>
      </c>
      <c r="P460" t="s">
        <v>19</v>
      </c>
    </row>
    <row r="461" spans="1:16" x14ac:dyDescent="0.35">
      <c r="A461" t="s">
        <v>487</v>
      </c>
      <c r="B461">
        <v>460</v>
      </c>
      <c r="C461">
        <v>20</v>
      </c>
      <c r="D461" t="s">
        <v>21</v>
      </c>
      <c r="E461" t="s">
        <v>17</v>
      </c>
      <c r="F461">
        <v>2.41</v>
      </c>
      <c r="G461">
        <v>3</v>
      </c>
      <c r="H461">
        <v>63.7</v>
      </c>
      <c r="I461">
        <v>0.74</v>
      </c>
      <c r="J461" t="s">
        <v>18</v>
      </c>
      <c r="K461">
        <v>15</v>
      </c>
      <c r="L461">
        <v>66</v>
      </c>
      <c r="M461">
        <v>0.8</v>
      </c>
      <c r="N461">
        <v>17</v>
      </c>
      <c r="O461">
        <v>0.7</v>
      </c>
      <c r="P461" t="s">
        <v>19</v>
      </c>
    </row>
    <row r="462" spans="1:16" x14ac:dyDescent="0.35">
      <c r="A462" t="s">
        <v>488</v>
      </c>
      <c r="B462">
        <v>461</v>
      </c>
      <c r="C462">
        <v>19</v>
      </c>
      <c r="D462" t="s">
        <v>32</v>
      </c>
      <c r="E462" t="s">
        <v>46</v>
      </c>
      <c r="F462">
        <v>2.76</v>
      </c>
      <c r="G462">
        <v>6</v>
      </c>
      <c r="H462">
        <v>66.5</v>
      </c>
      <c r="I462">
        <v>0.66</v>
      </c>
      <c r="J462" t="s">
        <v>18</v>
      </c>
      <c r="K462">
        <v>2</v>
      </c>
      <c r="L462">
        <v>37</v>
      </c>
      <c r="M462">
        <v>0.76</v>
      </c>
      <c r="N462">
        <v>16</v>
      </c>
      <c r="O462">
        <v>0.94</v>
      </c>
      <c r="P462" t="s">
        <v>19</v>
      </c>
    </row>
    <row r="463" spans="1:16" x14ac:dyDescent="0.35">
      <c r="A463" t="s">
        <v>489</v>
      </c>
      <c r="B463">
        <v>462</v>
      </c>
      <c r="C463">
        <v>22</v>
      </c>
      <c r="D463" t="s">
        <v>32</v>
      </c>
      <c r="E463" t="s">
        <v>46</v>
      </c>
      <c r="F463">
        <v>3.96</v>
      </c>
      <c r="G463">
        <v>5</v>
      </c>
      <c r="H463">
        <v>98.4</v>
      </c>
      <c r="I463">
        <v>0.8</v>
      </c>
      <c r="J463" t="s">
        <v>28</v>
      </c>
      <c r="K463">
        <v>9</v>
      </c>
      <c r="L463">
        <v>45</v>
      </c>
      <c r="M463">
        <v>0.87</v>
      </c>
      <c r="N463">
        <v>7</v>
      </c>
      <c r="O463">
        <v>0.76</v>
      </c>
      <c r="P463" t="s">
        <v>24</v>
      </c>
    </row>
    <row r="464" spans="1:16" x14ac:dyDescent="0.35">
      <c r="A464" t="s">
        <v>490</v>
      </c>
      <c r="B464">
        <v>463</v>
      </c>
      <c r="C464">
        <v>23</v>
      </c>
      <c r="D464" t="s">
        <v>32</v>
      </c>
      <c r="E464" t="s">
        <v>22</v>
      </c>
      <c r="F464">
        <v>3.57</v>
      </c>
      <c r="G464">
        <v>5</v>
      </c>
      <c r="H464">
        <v>81.5</v>
      </c>
      <c r="I464">
        <v>0.78</v>
      </c>
      <c r="J464" t="s">
        <v>28</v>
      </c>
      <c r="K464">
        <v>6</v>
      </c>
      <c r="L464">
        <v>73</v>
      </c>
      <c r="M464">
        <v>0.91</v>
      </c>
      <c r="N464">
        <v>14</v>
      </c>
      <c r="O464">
        <v>0.51</v>
      </c>
      <c r="P464" t="s">
        <v>24</v>
      </c>
    </row>
    <row r="465" spans="1:16" x14ac:dyDescent="0.35">
      <c r="A465" t="s">
        <v>491</v>
      </c>
      <c r="B465">
        <v>464</v>
      </c>
      <c r="C465">
        <v>18</v>
      </c>
      <c r="D465" t="s">
        <v>32</v>
      </c>
      <c r="E465" t="s">
        <v>22</v>
      </c>
      <c r="F465">
        <v>3.47</v>
      </c>
      <c r="G465">
        <v>4</v>
      </c>
      <c r="H465">
        <v>60.6</v>
      </c>
      <c r="I465">
        <v>0.96</v>
      </c>
      <c r="J465" t="s">
        <v>28</v>
      </c>
      <c r="K465">
        <v>20</v>
      </c>
      <c r="L465">
        <v>27</v>
      </c>
      <c r="M465">
        <v>0.84</v>
      </c>
      <c r="N465">
        <v>8</v>
      </c>
      <c r="O465">
        <v>0.86</v>
      </c>
      <c r="P465" t="s">
        <v>41</v>
      </c>
    </row>
    <row r="466" spans="1:16" x14ac:dyDescent="0.35">
      <c r="A466" t="s">
        <v>492</v>
      </c>
      <c r="B466">
        <v>465</v>
      </c>
      <c r="C466">
        <v>21</v>
      </c>
      <c r="D466" t="s">
        <v>32</v>
      </c>
      <c r="E466" t="s">
        <v>22</v>
      </c>
      <c r="F466">
        <v>2.23</v>
      </c>
      <c r="G466">
        <v>5</v>
      </c>
      <c r="H466">
        <v>70.3</v>
      </c>
      <c r="I466">
        <v>0.97</v>
      </c>
      <c r="J466" t="s">
        <v>28</v>
      </c>
      <c r="K466">
        <v>36</v>
      </c>
      <c r="L466">
        <v>44</v>
      </c>
      <c r="M466">
        <v>0.72</v>
      </c>
      <c r="N466">
        <v>16</v>
      </c>
      <c r="O466">
        <v>0.56000000000000005</v>
      </c>
      <c r="P466" t="s">
        <v>19</v>
      </c>
    </row>
    <row r="467" spans="1:16" x14ac:dyDescent="0.35">
      <c r="A467" t="s">
        <v>493</v>
      </c>
      <c r="B467">
        <v>466</v>
      </c>
      <c r="C467">
        <v>24</v>
      </c>
      <c r="D467" t="s">
        <v>21</v>
      </c>
      <c r="E467" t="s">
        <v>46</v>
      </c>
      <c r="F467">
        <v>3.56</v>
      </c>
      <c r="G467">
        <v>6</v>
      </c>
      <c r="H467">
        <v>78</v>
      </c>
      <c r="I467">
        <v>0.75</v>
      </c>
      <c r="J467" t="s">
        <v>23</v>
      </c>
      <c r="K467">
        <v>30</v>
      </c>
      <c r="L467">
        <v>77</v>
      </c>
      <c r="M467">
        <v>0.69</v>
      </c>
      <c r="N467">
        <v>1</v>
      </c>
      <c r="O467">
        <v>0.89</v>
      </c>
      <c r="P467" t="s">
        <v>24</v>
      </c>
    </row>
    <row r="468" spans="1:16" x14ac:dyDescent="0.35">
      <c r="A468" t="s">
        <v>494</v>
      </c>
      <c r="B468">
        <v>467</v>
      </c>
      <c r="C468">
        <v>25</v>
      </c>
      <c r="D468" t="s">
        <v>21</v>
      </c>
      <c r="E468" t="s">
        <v>17</v>
      </c>
      <c r="F468">
        <v>3.57</v>
      </c>
      <c r="G468">
        <v>5</v>
      </c>
      <c r="H468">
        <v>87.7</v>
      </c>
      <c r="I468">
        <v>0.8</v>
      </c>
      <c r="J468" t="s">
        <v>28</v>
      </c>
      <c r="K468">
        <v>22</v>
      </c>
      <c r="L468">
        <v>87</v>
      </c>
      <c r="M468">
        <v>0.89</v>
      </c>
      <c r="N468">
        <v>5</v>
      </c>
      <c r="O468">
        <v>0.57999999999999996</v>
      </c>
      <c r="P468" t="s">
        <v>24</v>
      </c>
    </row>
    <row r="469" spans="1:16" x14ac:dyDescent="0.35">
      <c r="A469" t="s">
        <v>495</v>
      </c>
      <c r="B469">
        <v>468</v>
      </c>
      <c r="C469">
        <v>18</v>
      </c>
      <c r="D469" t="s">
        <v>21</v>
      </c>
      <c r="E469" t="s">
        <v>17</v>
      </c>
      <c r="F469">
        <v>3.2</v>
      </c>
      <c r="G469">
        <v>4</v>
      </c>
      <c r="H469">
        <v>89.3</v>
      </c>
      <c r="I469">
        <v>0.96</v>
      </c>
      <c r="J469" t="s">
        <v>28</v>
      </c>
      <c r="K469">
        <v>26</v>
      </c>
      <c r="L469">
        <v>48</v>
      </c>
      <c r="M469">
        <v>0.76</v>
      </c>
      <c r="N469">
        <v>4</v>
      </c>
      <c r="O469">
        <v>0.67</v>
      </c>
      <c r="P469" t="s">
        <v>41</v>
      </c>
    </row>
    <row r="470" spans="1:16" x14ac:dyDescent="0.35">
      <c r="A470" t="s">
        <v>496</v>
      </c>
      <c r="B470">
        <v>469</v>
      </c>
      <c r="C470">
        <v>22</v>
      </c>
      <c r="D470" t="s">
        <v>21</v>
      </c>
      <c r="E470" t="s">
        <v>46</v>
      </c>
      <c r="F470">
        <v>3.98</v>
      </c>
      <c r="G470">
        <v>6</v>
      </c>
      <c r="H470">
        <v>99.8</v>
      </c>
      <c r="I470">
        <v>0.92</v>
      </c>
      <c r="J470" t="s">
        <v>18</v>
      </c>
      <c r="K470">
        <v>21</v>
      </c>
      <c r="L470">
        <v>17</v>
      </c>
      <c r="M470">
        <v>0.85</v>
      </c>
      <c r="N470">
        <v>16</v>
      </c>
      <c r="O470">
        <v>0.88</v>
      </c>
      <c r="P470" t="s">
        <v>41</v>
      </c>
    </row>
    <row r="471" spans="1:16" x14ac:dyDescent="0.35">
      <c r="A471" t="s">
        <v>497</v>
      </c>
      <c r="B471">
        <v>470</v>
      </c>
      <c r="C471">
        <v>21</v>
      </c>
      <c r="D471" t="s">
        <v>32</v>
      </c>
      <c r="E471" t="s">
        <v>17</v>
      </c>
      <c r="F471">
        <v>2.65</v>
      </c>
      <c r="G471">
        <v>3</v>
      </c>
      <c r="H471">
        <v>71.5</v>
      </c>
      <c r="I471">
        <v>0.6</v>
      </c>
      <c r="J471" t="s">
        <v>18</v>
      </c>
      <c r="K471">
        <v>38</v>
      </c>
      <c r="L471">
        <v>89</v>
      </c>
      <c r="M471">
        <v>0.95</v>
      </c>
      <c r="N471">
        <v>1</v>
      </c>
      <c r="O471">
        <v>0.98</v>
      </c>
      <c r="P471" t="s">
        <v>19</v>
      </c>
    </row>
    <row r="472" spans="1:16" x14ac:dyDescent="0.35">
      <c r="A472" t="s">
        <v>498</v>
      </c>
      <c r="B472">
        <v>471</v>
      </c>
      <c r="C472">
        <v>22</v>
      </c>
      <c r="D472" t="s">
        <v>16</v>
      </c>
      <c r="E472" t="s">
        <v>46</v>
      </c>
      <c r="F472">
        <v>3.88</v>
      </c>
      <c r="G472">
        <v>4</v>
      </c>
      <c r="H472">
        <v>81.5</v>
      </c>
      <c r="I472">
        <v>0.73</v>
      </c>
      <c r="J472" t="s">
        <v>18</v>
      </c>
      <c r="K472">
        <v>26</v>
      </c>
      <c r="L472">
        <v>24</v>
      </c>
      <c r="M472">
        <v>0.96</v>
      </c>
      <c r="N472">
        <v>17</v>
      </c>
      <c r="O472">
        <v>0.69</v>
      </c>
      <c r="P472" t="s">
        <v>19</v>
      </c>
    </row>
    <row r="473" spans="1:16" x14ac:dyDescent="0.35">
      <c r="A473" t="s">
        <v>499</v>
      </c>
      <c r="B473">
        <v>472</v>
      </c>
      <c r="C473">
        <v>25</v>
      </c>
      <c r="D473" t="s">
        <v>21</v>
      </c>
      <c r="E473" t="s">
        <v>17</v>
      </c>
      <c r="F473">
        <v>3.83</v>
      </c>
      <c r="G473">
        <v>3</v>
      </c>
      <c r="H473">
        <v>81.3</v>
      </c>
      <c r="I473">
        <v>0.77</v>
      </c>
      <c r="J473" t="s">
        <v>23</v>
      </c>
      <c r="K473">
        <v>3</v>
      </c>
      <c r="L473">
        <v>16</v>
      </c>
      <c r="M473">
        <v>0.64</v>
      </c>
      <c r="N473">
        <v>9</v>
      </c>
      <c r="O473">
        <v>0.91</v>
      </c>
      <c r="P473" t="s">
        <v>24</v>
      </c>
    </row>
    <row r="474" spans="1:16" x14ac:dyDescent="0.35">
      <c r="A474" t="s">
        <v>500</v>
      </c>
      <c r="B474">
        <v>473</v>
      </c>
      <c r="C474">
        <v>20</v>
      </c>
      <c r="D474" t="s">
        <v>16</v>
      </c>
      <c r="E474" t="s">
        <v>30</v>
      </c>
      <c r="F474">
        <v>2.02</v>
      </c>
      <c r="G474">
        <v>6</v>
      </c>
      <c r="H474">
        <v>76.2</v>
      </c>
      <c r="I474">
        <v>0.69</v>
      </c>
      <c r="J474" t="s">
        <v>23</v>
      </c>
      <c r="K474">
        <v>23</v>
      </c>
      <c r="L474">
        <v>26</v>
      </c>
      <c r="M474">
        <v>0.59</v>
      </c>
      <c r="N474">
        <v>9</v>
      </c>
      <c r="O474">
        <v>0.6</v>
      </c>
      <c r="P474" t="s">
        <v>19</v>
      </c>
    </row>
    <row r="475" spans="1:16" x14ac:dyDescent="0.35">
      <c r="A475" t="s">
        <v>501</v>
      </c>
      <c r="B475">
        <v>474</v>
      </c>
      <c r="C475">
        <v>21</v>
      </c>
      <c r="D475" t="s">
        <v>21</v>
      </c>
      <c r="E475" t="s">
        <v>30</v>
      </c>
      <c r="F475">
        <v>2.9</v>
      </c>
      <c r="G475">
        <v>4</v>
      </c>
      <c r="H475">
        <v>66.8</v>
      </c>
      <c r="I475">
        <v>0.68</v>
      </c>
      <c r="J475" t="s">
        <v>18</v>
      </c>
      <c r="K475">
        <v>22</v>
      </c>
      <c r="L475">
        <v>73</v>
      </c>
      <c r="M475">
        <v>0.63</v>
      </c>
      <c r="N475">
        <v>5</v>
      </c>
      <c r="O475">
        <v>0.9</v>
      </c>
      <c r="P475" t="s">
        <v>19</v>
      </c>
    </row>
    <row r="476" spans="1:16" x14ac:dyDescent="0.35">
      <c r="A476" t="s">
        <v>502</v>
      </c>
      <c r="B476">
        <v>475</v>
      </c>
      <c r="C476">
        <v>20</v>
      </c>
      <c r="D476" t="s">
        <v>21</v>
      </c>
      <c r="E476" t="s">
        <v>46</v>
      </c>
      <c r="F476">
        <v>3.95</v>
      </c>
      <c r="G476">
        <v>4</v>
      </c>
      <c r="H476">
        <v>99.1</v>
      </c>
      <c r="I476">
        <v>0.62</v>
      </c>
      <c r="J476" t="s">
        <v>18</v>
      </c>
      <c r="K476">
        <v>18</v>
      </c>
      <c r="L476">
        <v>21</v>
      </c>
      <c r="M476">
        <v>0.88</v>
      </c>
      <c r="N476">
        <v>11</v>
      </c>
      <c r="O476">
        <v>0.83</v>
      </c>
      <c r="P476" t="s">
        <v>19</v>
      </c>
    </row>
    <row r="477" spans="1:16" x14ac:dyDescent="0.35">
      <c r="A477" t="s">
        <v>503</v>
      </c>
      <c r="B477">
        <v>476</v>
      </c>
      <c r="C477">
        <v>25</v>
      </c>
      <c r="D477" t="s">
        <v>16</v>
      </c>
      <c r="E477" t="s">
        <v>17</v>
      </c>
      <c r="F477">
        <v>2.21</v>
      </c>
      <c r="G477">
        <v>6</v>
      </c>
      <c r="H477">
        <v>94.1</v>
      </c>
      <c r="I477">
        <v>0.86</v>
      </c>
      <c r="J477" t="s">
        <v>28</v>
      </c>
      <c r="K477">
        <v>2</v>
      </c>
      <c r="L477">
        <v>65</v>
      </c>
      <c r="M477">
        <v>0.69</v>
      </c>
      <c r="N477">
        <v>16</v>
      </c>
      <c r="O477">
        <v>0.6</v>
      </c>
      <c r="P477" t="s">
        <v>19</v>
      </c>
    </row>
    <row r="478" spans="1:16" x14ac:dyDescent="0.35">
      <c r="A478" t="s">
        <v>504</v>
      </c>
      <c r="B478">
        <v>477</v>
      </c>
      <c r="C478">
        <v>18</v>
      </c>
      <c r="D478" t="s">
        <v>32</v>
      </c>
      <c r="E478" t="s">
        <v>22</v>
      </c>
      <c r="F478">
        <v>3.1</v>
      </c>
      <c r="G478">
        <v>5</v>
      </c>
      <c r="H478">
        <v>79.900000000000006</v>
      </c>
      <c r="I478">
        <v>0.71</v>
      </c>
      <c r="J478" t="s">
        <v>28</v>
      </c>
      <c r="K478">
        <v>26</v>
      </c>
      <c r="L478">
        <v>55</v>
      </c>
      <c r="M478">
        <v>0.59</v>
      </c>
      <c r="N478">
        <v>12</v>
      </c>
      <c r="O478">
        <v>0.65</v>
      </c>
      <c r="P478" t="s">
        <v>19</v>
      </c>
    </row>
    <row r="479" spans="1:16" x14ac:dyDescent="0.35">
      <c r="A479" t="s">
        <v>505</v>
      </c>
      <c r="B479">
        <v>478</v>
      </c>
      <c r="C479">
        <v>25</v>
      </c>
      <c r="D479" t="s">
        <v>21</v>
      </c>
      <c r="E479" t="s">
        <v>17</v>
      </c>
      <c r="F479">
        <v>3.96</v>
      </c>
      <c r="G479">
        <v>4</v>
      </c>
      <c r="H479">
        <v>84.1</v>
      </c>
      <c r="I479">
        <v>0.62</v>
      </c>
      <c r="J479" t="s">
        <v>23</v>
      </c>
      <c r="K479">
        <v>2</v>
      </c>
      <c r="L479">
        <v>56</v>
      </c>
      <c r="M479">
        <v>0.55000000000000004</v>
      </c>
      <c r="N479">
        <v>19</v>
      </c>
      <c r="O479">
        <v>0.56999999999999995</v>
      </c>
      <c r="P479" t="s">
        <v>19</v>
      </c>
    </row>
    <row r="480" spans="1:16" x14ac:dyDescent="0.35">
      <c r="A480" t="s">
        <v>506</v>
      </c>
      <c r="B480">
        <v>479</v>
      </c>
      <c r="C480">
        <v>18</v>
      </c>
      <c r="D480" t="s">
        <v>21</v>
      </c>
      <c r="E480" t="s">
        <v>30</v>
      </c>
      <c r="F480">
        <v>3.11</v>
      </c>
      <c r="G480">
        <v>4</v>
      </c>
      <c r="H480">
        <v>69.099999999999994</v>
      </c>
      <c r="I480">
        <v>0.69</v>
      </c>
      <c r="J480" t="s">
        <v>23</v>
      </c>
      <c r="K480">
        <v>27</v>
      </c>
      <c r="L480">
        <v>88</v>
      </c>
      <c r="M480">
        <v>0.66</v>
      </c>
      <c r="N480">
        <v>15</v>
      </c>
      <c r="O480">
        <v>0.69</v>
      </c>
      <c r="P480" t="s">
        <v>19</v>
      </c>
    </row>
    <row r="481" spans="1:16" x14ac:dyDescent="0.35">
      <c r="A481" t="s">
        <v>507</v>
      </c>
      <c r="B481">
        <v>480</v>
      </c>
      <c r="C481">
        <v>21</v>
      </c>
      <c r="D481" t="s">
        <v>21</v>
      </c>
      <c r="E481" t="s">
        <v>30</v>
      </c>
      <c r="F481">
        <v>2.38</v>
      </c>
      <c r="G481">
        <v>3</v>
      </c>
      <c r="H481">
        <v>81.8</v>
      </c>
      <c r="I481">
        <v>0.92</v>
      </c>
      <c r="J481" t="s">
        <v>28</v>
      </c>
      <c r="K481">
        <v>16</v>
      </c>
      <c r="L481">
        <v>25</v>
      </c>
      <c r="M481">
        <v>0.56999999999999995</v>
      </c>
      <c r="N481">
        <v>9</v>
      </c>
      <c r="O481">
        <v>0.6</v>
      </c>
      <c r="P481" t="s">
        <v>19</v>
      </c>
    </row>
    <row r="482" spans="1:16" x14ac:dyDescent="0.35">
      <c r="A482" t="s">
        <v>508</v>
      </c>
      <c r="B482">
        <v>481</v>
      </c>
      <c r="C482">
        <v>21</v>
      </c>
      <c r="D482" t="s">
        <v>16</v>
      </c>
      <c r="E482" t="s">
        <v>17</v>
      </c>
      <c r="F482">
        <v>3.16</v>
      </c>
      <c r="G482">
        <v>5</v>
      </c>
      <c r="H482">
        <v>87.8</v>
      </c>
      <c r="I482">
        <v>0.94</v>
      </c>
      <c r="J482" t="s">
        <v>18</v>
      </c>
      <c r="K482">
        <v>30</v>
      </c>
      <c r="L482">
        <v>78</v>
      </c>
      <c r="M482">
        <v>0.57999999999999996</v>
      </c>
      <c r="N482">
        <v>1</v>
      </c>
      <c r="O482">
        <v>0.82</v>
      </c>
      <c r="P482" t="s">
        <v>41</v>
      </c>
    </row>
    <row r="483" spans="1:16" x14ac:dyDescent="0.35">
      <c r="A483" t="s">
        <v>509</v>
      </c>
      <c r="B483">
        <v>482</v>
      </c>
      <c r="C483">
        <v>23</v>
      </c>
      <c r="D483" t="s">
        <v>32</v>
      </c>
      <c r="E483" t="s">
        <v>17</v>
      </c>
      <c r="F483">
        <v>2.41</v>
      </c>
      <c r="G483">
        <v>3</v>
      </c>
      <c r="H483">
        <v>80.599999999999994</v>
      </c>
      <c r="I483">
        <v>0.79</v>
      </c>
      <c r="J483" t="s">
        <v>28</v>
      </c>
      <c r="K483">
        <v>9</v>
      </c>
      <c r="L483">
        <v>11</v>
      </c>
      <c r="M483">
        <v>0.84</v>
      </c>
      <c r="N483">
        <v>1</v>
      </c>
      <c r="O483">
        <v>1</v>
      </c>
      <c r="P483" t="s">
        <v>19</v>
      </c>
    </row>
    <row r="484" spans="1:16" x14ac:dyDescent="0.35">
      <c r="A484" t="s">
        <v>510</v>
      </c>
      <c r="B484">
        <v>483</v>
      </c>
      <c r="C484">
        <v>22</v>
      </c>
      <c r="D484" t="s">
        <v>16</v>
      </c>
      <c r="E484" t="s">
        <v>22</v>
      </c>
      <c r="F484">
        <v>3.04</v>
      </c>
      <c r="G484">
        <v>3</v>
      </c>
      <c r="H484">
        <v>99.6</v>
      </c>
      <c r="I484">
        <v>0.77</v>
      </c>
      <c r="J484" t="s">
        <v>23</v>
      </c>
      <c r="K484">
        <v>21</v>
      </c>
      <c r="L484">
        <v>63</v>
      </c>
      <c r="M484">
        <v>0.51</v>
      </c>
      <c r="N484">
        <v>6</v>
      </c>
      <c r="O484">
        <v>0.51</v>
      </c>
      <c r="P484" t="s">
        <v>24</v>
      </c>
    </row>
    <row r="485" spans="1:16" x14ac:dyDescent="0.35">
      <c r="A485" t="s">
        <v>511</v>
      </c>
      <c r="B485">
        <v>484</v>
      </c>
      <c r="C485">
        <v>23</v>
      </c>
      <c r="D485" t="s">
        <v>16</v>
      </c>
      <c r="E485" t="s">
        <v>22</v>
      </c>
      <c r="F485">
        <v>2.15</v>
      </c>
      <c r="G485">
        <v>5</v>
      </c>
      <c r="H485">
        <v>84.5</v>
      </c>
      <c r="I485">
        <v>0.99</v>
      </c>
      <c r="J485" t="s">
        <v>23</v>
      </c>
      <c r="K485">
        <v>29</v>
      </c>
      <c r="L485">
        <v>36</v>
      </c>
      <c r="M485">
        <v>0.56000000000000005</v>
      </c>
      <c r="N485">
        <v>5</v>
      </c>
      <c r="O485">
        <v>0.77</v>
      </c>
      <c r="P485" t="s">
        <v>19</v>
      </c>
    </row>
    <row r="486" spans="1:16" x14ac:dyDescent="0.35">
      <c r="A486" t="s">
        <v>512</v>
      </c>
      <c r="B486">
        <v>485</v>
      </c>
      <c r="C486">
        <v>22</v>
      </c>
      <c r="D486" t="s">
        <v>32</v>
      </c>
      <c r="E486" t="s">
        <v>17</v>
      </c>
      <c r="F486">
        <v>3.21</v>
      </c>
      <c r="G486">
        <v>5</v>
      </c>
      <c r="H486">
        <v>74.8</v>
      </c>
      <c r="I486">
        <v>0.68</v>
      </c>
      <c r="J486" t="s">
        <v>28</v>
      </c>
      <c r="K486">
        <v>20</v>
      </c>
      <c r="L486">
        <v>40</v>
      </c>
      <c r="M486">
        <v>0.92</v>
      </c>
      <c r="N486">
        <v>0</v>
      </c>
      <c r="O486">
        <v>0.79</v>
      </c>
      <c r="P486" t="s">
        <v>19</v>
      </c>
    </row>
    <row r="487" spans="1:16" x14ac:dyDescent="0.35">
      <c r="A487" t="s">
        <v>513</v>
      </c>
      <c r="B487">
        <v>486</v>
      </c>
      <c r="C487">
        <v>23</v>
      </c>
      <c r="D487" t="s">
        <v>16</v>
      </c>
      <c r="E487" t="s">
        <v>17</v>
      </c>
      <c r="F487">
        <v>3.03</v>
      </c>
      <c r="G487">
        <v>6</v>
      </c>
      <c r="H487">
        <v>90.9</v>
      </c>
      <c r="I487">
        <v>0.69</v>
      </c>
      <c r="J487" t="s">
        <v>28</v>
      </c>
      <c r="K487">
        <v>35</v>
      </c>
      <c r="L487">
        <v>50</v>
      </c>
      <c r="M487">
        <v>0.92</v>
      </c>
      <c r="N487">
        <v>11</v>
      </c>
      <c r="O487">
        <v>0.96</v>
      </c>
      <c r="P487" t="s">
        <v>19</v>
      </c>
    </row>
    <row r="488" spans="1:16" x14ac:dyDescent="0.35">
      <c r="A488" t="s">
        <v>514</v>
      </c>
      <c r="B488">
        <v>487</v>
      </c>
      <c r="C488">
        <v>20</v>
      </c>
      <c r="D488" t="s">
        <v>32</v>
      </c>
      <c r="E488" t="s">
        <v>17</v>
      </c>
      <c r="F488">
        <v>3.48</v>
      </c>
      <c r="G488">
        <v>5</v>
      </c>
      <c r="H488">
        <v>66.8</v>
      </c>
      <c r="I488">
        <v>0.72</v>
      </c>
      <c r="J488" t="s">
        <v>28</v>
      </c>
      <c r="K488">
        <v>22</v>
      </c>
      <c r="L488">
        <v>45</v>
      </c>
      <c r="M488">
        <v>0.66</v>
      </c>
      <c r="N488">
        <v>12</v>
      </c>
      <c r="O488">
        <v>0.75</v>
      </c>
      <c r="P488" t="s">
        <v>19</v>
      </c>
    </row>
    <row r="489" spans="1:16" x14ac:dyDescent="0.35">
      <c r="A489" t="s">
        <v>515</v>
      </c>
      <c r="B489">
        <v>488</v>
      </c>
      <c r="C489">
        <v>21</v>
      </c>
      <c r="D489" t="s">
        <v>21</v>
      </c>
      <c r="E489" t="s">
        <v>17</v>
      </c>
      <c r="F489">
        <v>3.26</v>
      </c>
      <c r="G489">
        <v>4</v>
      </c>
      <c r="H489">
        <v>75.400000000000006</v>
      </c>
      <c r="I489">
        <v>0.67</v>
      </c>
      <c r="J489" t="s">
        <v>23</v>
      </c>
      <c r="K489">
        <v>37</v>
      </c>
      <c r="L489">
        <v>56</v>
      </c>
      <c r="M489">
        <v>0.54</v>
      </c>
      <c r="N489">
        <v>11</v>
      </c>
      <c r="O489">
        <v>0.77</v>
      </c>
      <c r="P489" t="s">
        <v>19</v>
      </c>
    </row>
    <row r="490" spans="1:16" x14ac:dyDescent="0.35">
      <c r="A490" t="s">
        <v>516</v>
      </c>
      <c r="B490">
        <v>489</v>
      </c>
      <c r="C490">
        <v>18</v>
      </c>
      <c r="D490" t="s">
        <v>32</v>
      </c>
      <c r="E490" t="s">
        <v>46</v>
      </c>
      <c r="F490">
        <v>3.1</v>
      </c>
      <c r="G490">
        <v>5</v>
      </c>
      <c r="H490">
        <v>73.900000000000006</v>
      </c>
      <c r="I490">
        <v>0.75</v>
      </c>
      <c r="J490" t="s">
        <v>18</v>
      </c>
      <c r="K490">
        <v>11</v>
      </c>
      <c r="L490">
        <v>52</v>
      </c>
      <c r="M490">
        <v>0.85</v>
      </c>
      <c r="N490">
        <v>18</v>
      </c>
      <c r="O490">
        <v>0.74</v>
      </c>
      <c r="P490" t="s">
        <v>24</v>
      </c>
    </row>
    <row r="491" spans="1:16" x14ac:dyDescent="0.35">
      <c r="A491" t="s">
        <v>517</v>
      </c>
      <c r="B491">
        <v>490</v>
      </c>
      <c r="C491">
        <v>22</v>
      </c>
      <c r="D491" t="s">
        <v>21</v>
      </c>
      <c r="E491" t="s">
        <v>17</v>
      </c>
      <c r="F491">
        <v>3.38</v>
      </c>
      <c r="G491">
        <v>6</v>
      </c>
      <c r="H491">
        <v>77.3</v>
      </c>
      <c r="I491">
        <v>0.96</v>
      </c>
      <c r="J491" t="s">
        <v>28</v>
      </c>
      <c r="K491">
        <v>24</v>
      </c>
      <c r="L491">
        <v>74</v>
      </c>
      <c r="M491">
        <v>0.68</v>
      </c>
      <c r="N491">
        <v>8</v>
      </c>
      <c r="O491">
        <v>0.63</v>
      </c>
      <c r="P491" t="s">
        <v>41</v>
      </c>
    </row>
    <row r="492" spans="1:16" x14ac:dyDescent="0.35">
      <c r="A492" t="s">
        <v>518</v>
      </c>
      <c r="B492">
        <v>491</v>
      </c>
      <c r="C492">
        <v>25</v>
      </c>
      <c r="D492" t="s">
        <v>16</v>
      </c>
      <c r="E492" t="s">
        <v>22</v>
      </c>
      <c r="F492">
        <v>2.29</v>
      </c>
      <c r="G492">
        <v>6</v>
      </c>
      <c r="H492">
        <v>91.3</v>
      </c>
      <c r="I492">
        <v>0.85</v>
      </c>
      <c r="J492" t="s">
        <v>23</v>
      </c>
      <c r="K492">
        <v>19</v>
      </c>
      <c r="L492">
        <v>59</v>
      </c>
      <c r="M492">
        <v>0.52</v>
      </c>
      <c r="N492">
        <v>9</v>
      </c>
      <c r="O492">
        <v>0.53</v>
      </c>
      <c r="P492" t="s">
        <v>19</v>
      </c>
    </row>
    <row r="493" spans="1:16" x14ac:dyDescent="0.35">
      <c r="A493" t="s">
        <v>519</v>
      </c>
      <c r="B493">
        <v>492</v>
      </c>
      <c r="C493">
        <v>22</v>
      </c>
      <c r="D493" t="s">
        <v>16</v>
      </c>
      <c r="E493" t="s">
        <v>30</v>
      </c>
      <c r="F493">
        <v>3.19</v>
      </c>
      <c r="G493">
        <v>6</v>
      </c>
      <c r="H493">
        <v>79.400000000000006</v>
      </c>
      <c r="I493">
        <v>0.76</v>
      </c>
      <c r="J493" t="s">
        <v>23</v>
      </c>
      <c r="K493">
        <v>6</v>
      </c>
      <c r="L493">
        <v>10</v>
      </c>
      <c r="M493">
        <v>0.57999999999999996</v>
      </c>
      <c r="N493">
        <v>16</v>
      </c>
      <c r="O493">
        <v>0.7</v>
      </c>
      <c r="P493" t="s">
        <v>24</v>
      </c>
    </row>
    <row r="494" spans="1:16" x14ac:dyDescent="0.35">
      <c r="A494" t="s">
        <v>520</v>
      </c>
      <c r="B494">
        <v>493</v>
      </c>
      <c r="C494">
        <v>18</v>
      </c>
      <c r="D494" t="s">
        <v>21</v>
      </c>
      <c r="E494" t="s">
        <v>46</v>
      </c>
      <c r="F494">
        <v>2.34</v>
      </c>
      <c r="G494">
        <v>5</v>
      </c>
      <c r="H494">
        <v>91.8</v>
      </c>
      <c r="I494">
        <v>0.97</v>
      </c>
      <c r="J494" t="s">
        <v>23</v>
      </c>
      <c r="K494">
        <v>28</v>
      </c>
      <c r="L494">
        <v>81</v>
      </c>
      <c r="M494">
        <v>0.56999999999999995</v>
      </c>
      <c r="N494">
        <v>17</v>
      </c>
      <c r="O494">
        <v>0.53</v>
      </c>
      <c r="P494" t="s">
        <v>19</v>
      </c>
    </row>
    <row r="495" spans="1:16" x14ac:dyDescent="0.35">
      <c r="A495" t="s">
        <v>521</v>
      </c>
      <c r="B495">
        <v>494</v>
      </c>
      <c r="C495">
        <v>23</v>
      </c>
      <c r="D495" t="s">
        <v>16</v>
      </c>
      <c r="E495" t="s">
        <v>17</v>
      </c>
      <c r="F495">
        <v>3.85</v>
      </c>
      <c r="G495">
        <v>5</v>
      </c>
      <c r="H495">
        <v>83.1</v>
      </c>
      <c r="I495">
        <v>0.62</v>
      </c>
      <c r="J495" t="s">
        <v>28</v>
      </c>
      <c r="K495">
        <v>28</v>
      </c>
      <c r="L495">
        <v>66</v>
      </c>
      <c r="M495">
        <v>0.79</v>
      </c>
      <c r="N495">
        <v>7</v>
      </c>
      <c r="O495">
        <v>0.78</v>
      </c>
      <c r="P495" t="s">
        <v>19</v>
      </c>
    </row>
    <row r="496" spans="1:16" x14ac:dyDescent="0.35">
      <c r="A496" t="s">
        <v>522</v>
      </c>
      <c r="B496">
        <v>495</v>
      </c>
      <c r="C496">
        <v>22</v>
      </c>
      <c r="D496" t="s">
        <v>32</v>
      </c>
      <c r="E496" t="s">
        <v>30</v>
      </c>
      <c r="F496">
        <v>2.14</v>
      </c>
      <c r="G496">
        <v>3</v>
      </c>
      <c r="H496">
        <v>73.7</v>
      </c>
      <c r="I496">
        <v>0.68</v>
      </c>
      <c r="J496" t="s">
        <v>28</v>
      </c>
      <c r="K496">
        <v>12</v>
      </c>
      <c r="L496">
        <v>25</v>
      </c>
      <c r="M496">
        <v>0.95</v>
      </c>
      <c r="N496">
        <v>6</v>
      </c>
      <c r="O496">
        <v>0.65</v>
      </c>
      <c r="P496" t="s">
        <v>19</v>
      </c>
    </row>
    <row r="497" spans="1:16" x14ac:dyDescent="0.35">
      <c r="A497" t="s">
        <v>523</v>
      </c>
      <c r="B497">
        <v>496</v>
      </c>
      <c r="C497">
        <v>24</v>
      </c>
      <c r="D497" t="s">
        <v>21</v>
      </c>
      <c r="E497" t="s">
        <v>46</v>
      </c>
      <c r="F497">
        <v>2.86</v>
      </c>
      <c r="G497">
        <v>3</v>
      </c>
      <c r="H497">
        <v>92.4</v>
      </c>
      <c r="I497">
        <v>0.83</v>
      </c>
      <c r="J497" t="s">
        <v>18</v>
      </c>
      <c r="K497">
        <v>2</v>
      </c>
      <c r="L497">
        <v>37</v>
      </c>
      <c r="M497">
        <v>0.9</v>
      </c>
      <c r="N497">
        <v>8</v>
      </c>
      <c r="O497">
        <v>0.77</v>
      </c>
      <c r="P497" t="s">
        <v>24</v>
      </c>
    </row>
    <row r="498" spans="1:16" x14ac:dyDescent="0.35">
      <c r="A498" t="s">
        <v>524</v>
      </c>
      <c r="B498">
        <v>497</v>
      </c>
      <c r="C498">
        <v>20</v>
      </c>
      <c r="D498" t="s">
        <v>16</v>
      </c>
      <c r="E498" t="s">
        <v>30</v>
      </c>
      <c r="F498">
        <v>3.39</v>
      </c>
      <c r="G498">
        <v>4</v>
      </c>
      <c r="H498">
        <v>69.5</v>
      </c>
      <c r="I498">
        <v>0.85</v>
      </c>
      <c r="J498" t="s">
        <v>23</v>
      </c>
      <c r="K498">
        <v>1</v>
      </c>
      <c r="L498">
        <v>31</v>
      </c>
      <c r="M498">
        <v>0.77</v>
      </c>
      <c r="N498">
        <v>9</v>
      </c>
      <c r="O498">
        <v>0.56999999999999995</v>
      </c>
      <c r="P498" t="s">
        <v>41</v>
      </c>
    </row>
    <row r="499" spans="1:16" x14ac:dyDescent="0.35">
      <c r="A499" t="s">
        <v>525</v>
      </c>
      <c r="B499">
        <v>498</v>
      </c>
      <c r="C499">
        <v>21</v>
      </c>
      <c r="D499" t="s">
        <v>21</v>
      </c>
      <c r="E499" t="s">
        <v>17</v>
      </c>
      <c r="F499">
        <v>2.92</v>
      </c>
      <c r="G499">
        <v>3</v>
      </c>
      <c r="H499">
        <v>69</v>
      </c>
      <c r="I499">
        <v>0.62</v>
      </c>
      <c r="J499" t="s">
        <v>28</v>
      </c>
      <c r="K499">
        <v>15</v>
      </c>
      <c r="L499">
        <v>50</v>
      </c>
      <c r="M499">
        <v>0.71</v>
      </c>
      <c r="N499">
        <v>11</v>
      </c>
      <c r="O499">
        <v>0.97</v>
      </c>
      <c r="P499" t="s">
        <v>19</v>
      </c>
    </row>
    <row r="500" spans="1:16" x14ac:dyDescent="0.35">
      <c r="A500" t="s">
        <v>526</v>
      </c>
      <c r="B500">
        <v>499</v>
      </c>
      <c r="C500">
        <v>18</v>
      </c>
      <c r="D500" t="s">
        <v>32</v>
      </c>
      <c r="E500" t="s">
        <v>17</v>
      </c>
      <c r="F500">
        <v>2.1800000000000002</v>
      </c>
      <c r="G500">
        <v>4</v>
      </c>
      <c r="H500">
        <v>80.2</v>
      </c>
      <c r="I500">
        <v>0.76</v>
      </c>
      <c r="J500" t="s">
        <v>23</v>
      </c>
      <c r="K500">
        <v>29</v>
      </c>
      <c r="L500">
        <v>85</v>
      </c>
      <c r="M500">
        <v>0.81</v>
      </c>
      <c r="N500">
        <v>14</v>
      </c>
      <c r="O500">
        <v>0.95</v>
      </c>
      <c r="P500" t="s">
        <v>19</v>
      </c>
    </row>
    <row r="501" spans="1:16" x14ac:dyDescent="0.35">
      <c r="A501" t="s">
        <v>527</v>
      </c>
      <c r="B501">
        <v>500</v>
      </c>
      <c r="C501">
        <v>21</v>
      </c>
      <c r="D501" t="s">
        <v>32</v>
      </c>
      <c r="E501" t="s">
        <v>22</v>
      </c>
      <c r="F501">
        <v>3.11</v>
      </c>
      <c r="G501">
        <v>6</v>
      </c>
      <c r="H501">
        <v>70.400000000000006</v>
      </c>
      <c r="I501">
        <v>0.86</v>
      </c>
      <c r="J501" t="s">
        <v>23</v>
      </c>
      <c r="K501">
        <v>37</v>
      </c>
      <c r="L501">
        <v>28</v>
      </c>
      <c r="M501">
        <v>0.72</v>
      </c>
      <c r="N501">
        <v>14</v>
      </c>
      <c r="O501">
        <v>0.59</v>
      </c>
      <c r="P501" t="s">
        <v>41</v>
      </c>
    </row>
    <row r="502" spans="1:16" x14ac:dyDescent="0.35">
      <c r="A502" t="s">
        <v>528</v>
      </c>
      <c r="B502">
        <v>501</v>
      </c>
      <c r="C502">
        <v>24</v>
      </c>
      <c r="D502" t="s">
        <v>16</v>
      </c>
      <c r="E502" t="s">
        <v>17</v>
      </c>
      <c r="F502">
        <v>3.28</v>
      </c>
      <c r="G502">
        <v>3</v>
      </c>
      <c r="H502">
        <v>60.4</v>
      </c>
      <c r="I502">
        <v>0.88</v>
      </c>
      <c r="J502" t="s">
        <v>18</v>
      </c>
      <c r="K502">
        <v>5</v>
      </c>
      <c r="L502">
        <v>59</v>
      </c>
      <c r="M502">
        <v>0.62</v>
      </c>
      <c r="N502">
        <v>3</v>
      </c>
      <c r="O502">
        <v>0.67</v>
      </c>
      <c r="P502" t="s">
        <v>41</v>
      </c>
    </row>
    <row r="503" spans="1:16" x14ac:dyDescent="0.35">
      <c r="A503" t="s">
        <v>529</v>
      </c>
      <c r="B503">
        <v>502</v>
      </c>
      <c r="C503">
        <v>22</v>
      </c>
      <c r="D503" t="s">
        <v>32</v>
      </c>
      <c r="E503" t="s">
        <v>17</v>
      </c>
      <c r="F503">
        <v>3.41</v>
      </c>
      <c r="G503">
        <v>5</v>
      </c>
      <c r="H503">
        <v>85.9</v>
      </c>
      <c r="I503">
        <v>0.86</v>
      </c>
      <c r="J503" t="s">
        <v>28</v>
      </c>
      <c r="K503">
        <v>6</v>
      </c>
      <c r="L503">
        <v>68</v>
      </c>
      <c r="M503">
        <v>0.84</v>
      </c>
      <c r="N503">
        <v>3</v>
      </c>
      <c r="O503">
        <v>0.81</v>
      </c>
      <c r="P503" t="s">
        <v>41</v>
      </c>
    </row>
    <row r="504" spans="1:16" x14ac:dyDescent="0.35">
      <c r="A504" t="s">
        <v>530</v>
      </c>
      <c r="B504">
        <v>503</v>
      </c>
      <c r="C504">
        <v>22</v>
      </c>
      <c r="D504" t="s">
        <v>21</v>
      </c>
      <c r="E504" t="s">
        <v>46</v>
      </c>
      <c r="F504">
        <v>2.75</v>
      </c>
      <c r="G504">
        <v>3</v>
      </c>
      <c r="H504">
        <v>80.400000000000006</v>
      </c>
      <c r="I504">
        <v>0.73</v>
      </c>
      <c r="J504" t="s">
        <v>28</v>
      </c>
      <c r="K504">
        <v>4</v>
      </c>
      <c r="L504">
        <v>78</v>
      </c>
      <c r="M504">
        <v>0.94</v>
      </c>
      <c r="N504">
        <v>0</v>
      </c>
      <c r="O504">
        <v>0.55000000000000004</v>
      </c>
      <c r="P504" t="s">
        <v>19</v>
      </c>
    </row>
    <row r="505" spans="1:16" x14ac:dyDescent="0.35">
      <c r="A505" t="s">
        <v>531</v>
      </c>
      <c r="B505">
        <v>504</v>
      </c>
      <c r="C505">
        <v>25</v>
      </c>
      <c r="D505" t="s">
        <v>32</v>
      </c>
      <c r="E505" t="s">
        <v>22</v>
      </c>
      <c r="F505">
        <v>3.13</v>
      </c>
      <c r="G505">
        <v>4</v>
      </c>
      <c r="H505">
        <v>77.8</v>
      </c>
      <c r="I505">
        <v>0.64</v>
      </c>
      <c r="J505" t="s">
        <v>23</v>
      </c>
      <c r="K505">
        <v>6</v>
      </c>
      <c r="L505">
        <v>43</v>
      </c>
      <c r="M505">
        <v>0.69</v>
      </c>
      <c r="N505">
        <v>11</v>
      </c>
      <c r="O505">
        <v>0.68</v>
      </c>
      <c r="P505" t="s">
        <v>19</v>
      </c>
    </row>
    <row r="506" spans="1:16" x14ac:dyDescent="0.35">
      <c r="A506" t="s">
        <v>532</v>
      </c>
      <c r="B506">
        <v>505</v>
      </c>
      <c r="C506">
        <v>24</v>
      </c>
      <c r="D506" t="s">
        <v>21</v>
      </c>
      <c r="E506" t="s">
        <v>46</v>
      </c>
      <c r="F506">
        <v>2.9</v>
      </c>
      <c r="G506">
        <v>3</v>
      </c>
      <c r="H506">
        <v>98.7</v>
      </c>
      <c r="I506">
        <v>0.77</v>
      </c>
      <c r="J506" t="s">
        <v>23</v>
      </c>
      <c r="K506">
        <v>33</v>
      </c>
      <c r="L506">
        <v>48</v>
      </c>
      <c r="M506">
        <v>0.92</v>
      </c>
      <c r="N506">
        <v>1</v>
      </c>
      <c r="O506">
        <v>0.63</v>
      </c>
      <c r="P506" t="s">
        <v>24</v>
      </c>
    </row>
    <row r="507" spans="1:16" x14ac:dyDescent="0.35">
      <c r="A507" t="s">
        <v>533</v>
      </c>
      <c r="B507">
        <v>506</v>
      </c>
      <c r="C507">
        <v>18</v>
      </c>
      <c r="D507" t="s">
        <v>21</v>
      </c>
      <c r="E507" t="s">
        <v>30</v>
      </c>
      <c r="F507">
        <v>3.34</v>
      </c>
      <c r="G507">
        <v>6</v>
      </c>
      <c r="H507">
        <v>82.8</v>
      </c>
      <c r="I507">
        <v>0.65</v>
      </c>
      <c r="J507" t="s">
        <v>18</v>
      </c>
      <c r="K507">
        <v>31</v>
      </c>
      <c r="L507">
        <v>83</v>
      </c>
      <c r="M507">
        <v>0.72</v>
      </c>
      <c r="N507">
        <v>14</v>
      </c>
      <c r="O507">
        <v>0.96</v>
      </c>
      <c r="P507" t="s">
        <v>19</v>
      </c>
    </row>
    <row r="508" spans="1:16" x14ac:dyDescent="0.35">
      <c r="A508" t="s">
        <v>534</v>
      </c>
      <c r="B508">
        <v>507</v>
      </c>
      <c r="C508">
        <v>25</v>
      </c>
      <c r="D508" t="s">
        <v>32</v>
      </c>
      <c r="E508" t="s">
        <v>17</v>
      </c>
      <c r="F508">
        <v>3.17</v>
      </c>
      <c r="G508">
        <v>5</v>
      </c>
      <c r="H508">
        <v>94.5</v>
      </c>
      <c r="I508">
        <v>0.98</v>
      </c>
      <c r="J508" t="s">
        <v>18</v>
      </c>
      <c r="K508">
        <v>12</v>
      </c>
      <c r="L508">
        <v>16</v>
      </c>
      <c r="M508">
        <v>0.7</v>
      </c>
      <c r="N508">
        <v>16</v>
      </c>
      <c r="O508">
        <v>0.93</v>
      </c>
      <c r="P508" t="s">
        <v>41</v>
      </c>
    </row>
    <row r="509" spans="1:16" x14ac:dyDescent="0.35">
      <c r="A509" t="s">
        <v>535</v>
      </c>
      <c r="B509">
        <v>508</v>
      </c>
      <c r="C509">
        <v>20</v>
      </c>
      <c r="D509" t="s">
        <v>16</v>
      </c>
      <c r="E509" t="s">
        <v>30</v>
      </c>
      <c r="F509">
        <v>3.05</v>
      </c>
      <c r="G509">
        <v>4</v>
      </c>
      <c r="H509">
        <v>65.599999999999994</v>
      </c>
      <c r="I509">
        <v>0.79</v>
      </c>
      <c r="J509" t="s">
        <v>18</v>
      </c>
      <c r="K509">
        <v>29</v>
      </c>
      <c r="L509">
        <v>61</v>
      </c>
      <c r="M509">
        <v>0.51</v>
      </c>
      <c r="N509">
        <v>6</v>
      </c>
      <c r="O509">
        <v>0.79</v>
      </c>
      <c r="P509" t="s">
        <v>24</v>
      </c>
    </row>
    <row r="510" spans="1:16" x14ac:dyDescent="0.35">
      <c r="A510" t="s">
        <v>536</v>
      </c>
      <c r="B510">
        <v>509</v>
      </c>
      <c r="C510">
        <v>25</v>
      </c>
      <c r="D510" t="s">
        <v>32</v>
      </c>
      <c r="E510" t="s">
        <v>46</v>
      </c>
      <c r="F510">
        <v>2.5</v>
      </c>
      <c r="G510">
        <v>5</v>
      </c>
      <c r="H510">
        <v>82.8</v>
      </c>
      <c r="I510">
        <v>0.73</v>
      </c>
      <c r="J510" t="s">
        <v>18</v>
      </c>
      <c r="K510">
        <v>24</v>
      </c>
      <c r="L510">
        <v>69</v>
      </c>
      <c r="M510">
        <v>0.85</v>
      </c>
      <c r="N510">
        <v>5</v>
      </c>
      <c r="O510">
        <v>0.76</v>
      </c>
      <c r="P510" t="s">
        <v>19</v>
      </c>
    </row>
    <row r="511" spans="1:16" x14ac:dyDescent="0.35">
      <c r="A511" t="s">
        <v>537</v>
      </c>
      <c r="B511">
        <v>510</v>
      </c>
      <c r="C511">
        <v>19</v>
      </c>
      <c r="D511" t="s">
        <v>21</v>
      </c>
      <c r="E511" t="s">
        <v>17</v>
      </c>
      <c r="F511">
        <v>2</v>
      </c>
      <c r="G511">
        <v>5</v>
      </c>
      <c r="H511">
        <v>94.7</v>
      </c>
      <c r="I511">
        <v>0.91</v>
      </c>
      <c r="J511" t="s">
        <v>18</v>
      </c>
      <c r="K511">
        <v>20</v>
      </c>
      <c r="L511">
        <v>61</v>
      </c>
      <c r="M511">
        <v>0.9</v>
      </c>
      <c r="N511">
        <v>11</v>
      </c>
      <c r="O511">
        <v>0.97</v>
      </c>
      <c r="P511" t="s">
        <v>19</v>
      </c>
    </row>
    <row r="512" spans="1:16" x14ac:dyDescent="0.35">
      <c r="A512" t="s">
        <v>538</v>
      </c>
      <c r="B512">
        <v>511</v>
      </c>
      <c r="C512">
        <v>18</v>
      </c>
      <c r="D512" t="s">
        <v>21</v>
      </c>
      <c r="E512" t="s">
        <v>17</v>
      </c>
      <c r="F512">
        <v>2.35</v>
      </c>
      <c r="G512">
        <v>4</v>
      </c>
      <c r="H512">
        <v>83.3</v>
      </c>
      <c r="I512">
        <v>0.8</v>
      </c>
      <c r="J512" t="s">
        <v>18</v>
      </c>
      <c r="K512">
        <v>20</v>
      </c>
      <c r="L512">
        <v>88</v>
      </c>
      <c r="M512">
        <v>0.83</v>
      </c>
      <c r="N512">
        <v>18</v>
      </c>
      <c r="O512">
        <v>0.97</v>
      </c>
      <c r="P512" t="s">
        <v>19</v>
      </c>
    </row>
    <row r="513" spans="1:16" x14ac:dyDescent="0.35">
      <c r="A513" t="s">
        <v>539</v>
      </c>
      <c r="B513">
        <v>512</v>
      </c>
      <c r="C513">
        <v>19</v>
      </c>
      <c r="D513" t="s">
        <v>32</v>
      </c>
      <c r="E513" t="s">
        <v>46</v>
      </c>
      <c r="F513">
        <v>2.23</v>
      </c>
      <c r="G513">
        <v>5</v>
      </c>
      <c r="H513">
        <v>88.7</v>
      </c>
      <c r="I513">
        <v>0.72</v>
      </c>
      <c r="J513" t="s">
        <v>23</v>
      </c>
      <c r="K513">
        <v>27</v>
      </c>
      <c r="L513">
        <v>33</v>
      </c>
      <c r="M513">
        <v>0.57999999999999996</v>
      </c>
      <c r="N513">
        <v>0</v>
      </c>
      <c r="O513">
        <v>0.98</v>
      </c>
      <c r="P513" t="s">
        <v>19</v>
      </c>
    </row>
    <row r="514" spans="1:16" x14ac:dyDescent="0.35">
      <c r="A514" t="s">
        <v>540</v>
      </c>
      <c r="B514">
        <v>513</v>
      </c>
      <c r="C514">
        <v>24</v>
      </c>
      <c r="D514" t="s">
        <v>16</v>
      </c>
      <c r="E514" t="s">
        <v>46</v>
      </c>
      <c r="F514">
        <v>2.9</v>
      </c>
      <c r="G514">
        <v>5</v>
      </c>
      <c r="H514">
        <v>74.900000000000006</v>
      </c>
      <c r="I514">
        <v>0.92</v>
      </c>
      <c r="J514" t="s">
        <v>18</v>
      </c>
      <c r="K514">
        <v>19</v>
      </c>
      <c r="L514">
        <v>35</v>
      </c>
      <c r="M514">
        <v>0.55000000000000004</v>
      </c>
      <c r="N514">
        <v>13</v>
      </c>
      <c r="O514">
        <v>0.56000000000000005</v>
      </c>
      <c r="P514" t="s">
        <v>24</v>
      </c>
    </row>
    <row r="515" spans="1:16" x14ac:dyDescent="0.35">
      <c r="A515" t="s">
        <v>541</v>
      </c>
      <c r="B515">
        <v>514</v>
      </c>
      <c r="C515">
        <v>23</v>
      </c>
      <c r="D515" t="s">
        <v>16</v>
      </c>
      <c r="E515" t="s">
        <v>46</v>
      </c>
      <c r="F515">
        <v>3.22</v>
      </c>
      <c r="G515">
        <v>3</v>
      </c>
      <c r="H515">
        <v>63.7</v>
      </c>
      <c r="I515">
        <v>0.95</v>
      </c>
      <c r="J515" t="s">
        <v>23</v>
      </c>
      <c r="K515">
        <v>33</v>
      </c>
      <c r="L515">
        <v>19</v>
      </c>
      <c r="M515">
        <v>0.79</v>
      </c>
      <c r="N515">
        <v>3</v>
      </c>
      <c r="O515">
        <v>0.57999999999999996</v>
      </c>
      <c r="P515" t="s">
        <v>41</v>
      </c>
    </row>
    <row r="516" spans="1:16" x14ac:dyDescent="0.35">
      <c r="A516" t="s">
        <v>542</v>
      </c>
      <c r="B516">
        <v>515</v>
      </c>
      <c r="C516">
        <v>19</v>
      </c>
      <c r="D516" t="s">
        <v>21</v>
      </c>
      <c r="E516" t="s">
        <v>46</v>
      </c>
      <c r="F516">
        <v>2.4300000000000002</v>
      </c>
      <c r="G516">
        <v>5</v>
      </c>
      <c r="H516">
        <v>78.3</v>
      </c>
      <c r="I516">
        <v>0.87</v>
      </c>
      <c r="J516" t="s">
        <v>23</v>
      </c>
      <c r="K516">
        <v>4</v>
      </c>
      <c r="L516">
        <v>26</v>
      </c>
      <c r="M516">
        <v>0.7</v>
      </c>
      <c r="N516">
        <v>4</v>
      </c>
      <c r="O516">
        <v>0.84</v>
      </c>
      <c r="P516" t="s">
        <v>19</v>
      </c>
    </row>
    <row r="517" spans="1:16" x14ac:dyDescent="0.35">
      <c r="A517" t="s">
        <v>543</v>
      </c>
      <c r="B517">
        <v>516</v>
      </c>
      <c r="C517">
        <v>20</v>
      </c>
      <c r="D517" t="s">
        <v>21</v>
      </c>
      <c r="E517" t="s">
        <v>46</v>
      </c>
      <c r="F517">
        <v>3.88</v>
      </c>
      <c r="G517">
        <v>5</v>
      </c>
      <c r="H517">
        <v>75.8</v>
      </c>
      <c r="I517">
        <v>0.62</v>
      </c>
      <c r="J517" t="s">
        <v>28</v>
      </c>
      <c r="K517">
        <v>17</v>
      </c>
      <c r="L517">
        <v>87</v>
      </c>
      <c r="M517">
        <v>0.71</v>
      </c>
      <c r="N517">
        <v>0</v>
      </c>
      <c r="O517">
        <v>0.77</v>
      </c>
      <c r="P517" t="s">
        <v>19</v>
      </c>
    </row>
    <row r="518" spans="1:16" x14ac:dyDescent="0.35">
      <c r="A518" t="s">
        <v>544</v>
      </c>
      <c r="B518">
        <v>517</v>
      </c>
      <c r="C518">
        <v>25</v>
      </c>
      <c r="D518" t="s">
        <v>16</v>
      </c>
      <c r="E518" t="s">
        <v>17</v>
      </c>
      <c r="F518">
        <v>2.0099999999999998</v>
      </c>
      <c r="G518">
        <v>5</v>
      </c>
      <c r="H518">
        <v>94.7</v>
      </c>
      <c r="I518">
        <v>0.83</v>
      </c>
      <c r="J518" t="s">
        <v>23</v>
      </c>
      <c r="K518">
        <v>38</v>
      </c>
      <c r="L518">
        <v>11</v>
      </c>
      <c r="M518">
        <v>0.98</v>
      </c>
      <c r="N518">
        <v>0</v>
      </c>
      <c r="O518">
        <v>0.51</v>
      </c>
      <c r="P518" t="s">
        <v>19</v>
      </c>
    </row>
    <row r="519" spans="1:16" x14ac:dyDescent="0.35">
      <c r="A519" t="s">
        <v>545</v>
      </c>
      <c r="B519">
        <v>518</v>
      </c>
      <c r="C519">
        <v>23</v>
      </c>
      <c r="D519" t="s">
        <v>32</v>
      </c>
      <c r="E519" t="s">
        <v>46</v>
      </c>
      <c r="F519">
        <v>3.54</v>
      </c>
      <c r="G519">
        <v>5</v>
      </c>
      <c r="H519">
        <v>69.8</v>
      </c>
      <c r="I519">
        <v>0.91</v>
      </c>
      <c r="J519" t="s">
        <v>23</v>
      </c>
      <c r="K519">
        <v>10</v>
      </c>
      <c r="L519">
        <v>86</v>
      </c>
      <c r="M519">
        <v>0.86</v>
      </c>
      <c r="N519">
        <v>5</v>
      </c>
      <c r="O519">
        <v>0.53</v>
      </c>
      <c r="P519" t="s">
        <v>41</v>
      </c>
    </row>
    <row r="520" spans="1:16" x14ac:dyDescent="0.35">
      <c r="A520" t="s">
        <v>546</v>
      </c>
      <c r="B520">
        <v>519</v>
      </c>
      <c r="C520">
        <v>25</v>
      </c>
      <c r="D520" t="s">
        <v>21</v>
      </c>
      <c r="E520" t="s">
        <v>17</v>
      </c>
      <c r="F520">
        <v>3.25</v>
      </c>
      <c r="G520">
        <v>4</v>
      </c>
      <c r="H520">
        <v>98.7</v>
      </c>
      <c r="I520">
        <v>0.65</v>
      </c>
      <c r="J520" t="s">
        <v>18</v>
      </c>
      <c r="K520">
        <v>16</v>
      </c>
      <c r="L520">
        <v>36</v>
      </c>
      <c r="M520">
        <v>0.71</v>
      </c>
      <c r="N520">
        <v>4</v>
      </c>
      <c r="O520">
        <v>0.94</v>
      </c>
      <c r="P520" t="s">
        <v>19</v>
      </c>
    </row>
    <row r="521" spans="1:16" x14ac:dyDescent="0.35">
      <c r="A521" t="s">
        <v>547</v>
      </c>
      <c r="B521">
        <v>520</v>
      </c>
      <c r="C521">
        <v>19</v>
      </c>
      <c r="D521" t="s">
        <v>21</v>
      </c>
      <c r="E521" t="s">
        <v>17</v>
      </c>
      <c r="F521">
        <v>2.75</v>
      </c>
      <c r="G521">
        <v>6</v>
      </c>
      <c r="H521">
        <v>98.3</v>
      </c>
      <c r="I521">
        <v>0.69</v>
      </c>
      <c r="J521" t="s">
        <v>23</v>
      </c>
      <c r="K521">
        <v>21</v>
      </c>
      <c r="L521">
        <v>82</v>
      </c>
      <c r="M521">
        <v>0.51</v>
      </c>
      <c r="N521">
        <v>1</v>
      </c>
      <c r="O521">
        <v>0.93</v>
      </c>
      <c r="P521" t="s">
        <v>19</v>
      </c>
    </row>
    <row r="522" spans="1:16" x14ac:dyDescent="0.35">
      <c r="A522" t="s">
        <v>548</v>
      </c>
      <c r="B522">
        <v>521</v>
      </c>
      <c r="C522">
        <v>25</v>
      </c>
      <c r="D522" t="s">
        <v>16</v>
      </c>
      <c r="E522" t="s">
        <v>46</v>
      </c>
      <c r="F522">
        <v>2.1</v>
      </c>
      <c r="G522">
        <v>3</v>
      </c>
      <c r="H522">
        <v>69.900000000000006</v>
      </c>
      <c r="I522">
        <v>0.95</v>
      </c>
      <c r="J522" t="s">
        <v>18</v>
      </c>
      <c r="K522">
        <v>36</v>
      </c>
      <c r="L522">
        <v>80</v>
      </c>
      <c r="M522">
        <v>0.52</v>
      </c>
      <c r="N522">
        <v>4</v>
      </c>
      <c r="O522">
        <v>0.68</v>
      </c>
      <c r="P522" t="s">
        <v>19</v>
      </c>
    </row>
    <row r="523" spans="1:16" x14ac:dyDescent="0.35">
      <c r="A523" t="s">
        <v>549</v>
      </c>
      <c r="B523">
        <v>522</v>
      </c>
      <c r="C523">
        <v>24</v>
      </c>
      <c r="D523" t="s">
        <v>32</v>
      </c>
      <c r="E523" t="s">
        <v>46</v>
      </c>
      <c r="F523">
        <v>3.25</v>
      </c>
      <c r="G523">
        <v>5</v>
      </c>
      <c r="H523">
        <v>73.900000000000006</v>
      </c>
      <c r="I523">
        <v>0.61</v>
      </c>
      <c r="J523" t="s">
        <v>18</v>
      </c>
      <c r="K523">
        <v>19</v>
      </c>
      <c r="L523">
        <v>57</v>
      </c>
      <c r="M523">
        <v>0.84</v>
      </c>
      <c r="N523">
        <v>8</v>
      </c>
      <c r="O523">
        <v>0.95</v>
      </c>
      <c r="P523" t="s">
        <v>19</v>
      </c>
    </row>
    <row r="524" spans="1:16" x14ac:dyDescent="0.35">
      <c r="A524" t="s">
        <v>550</v>
      </c>
      <c r="B524">
        <v>523</v>
      </c>
      <c r="C524">
        <v>23</v>
      </c>
      <c r="D524" t="s">
        <v>16</v>
      </c>
      <c r="E524" t="s">
        <v>22</v>
      </c>
      <c r="F524">
        <v>2.77</v>
      </c>
      <c r="G524">
        <v>5</v>
      </c>
      <c r="H524">
        <v>95.8</v>
      </c>
      <c r="I524">
        <v>0.9</v>
      </c>
      <c r="J524" t="s">
        <v>18</v>
      </c>
      <c r="K524">
        <v>5</v>
      </c>
      <c r="L524">
        <v>83</v>
      </c>
      <c r="M524">
        <v>0.92</v>
      </c>
      <c r="N524">
        <v>18</v>
      </c>
      <c r="O524">
        <v>0.8</v>
      </c>
      <c r="P524" t="s">
        <v>24</v>
      </c>
    </row>
    <row r="525" spans="1:16" x14ac:dyDescent="0.35">
      <c r="A525" t="s">
        <v>551</v>
      </c>
      <c r="B525">
        <v>524</v>
      </c>
      <c r="C525">
        <v>24</v>
      </c>
      <c r="D525" t="s">
        <v>32</v>
      </c>
      <c r="E525" t="s">
        <v>17</v>
      </c>
      <c r="F525">
        <v>3.87</v>
      </c>
      <c r="G525">
        <v>4</v>
      </c>
      <c r="H525">
        <v>98.7</v>
      </c>
      <c r="I525">
        <v>0.79</v>
      </c>
      <c r="J525" t="s">
        <v>28</v>
      </c>
      <c r="K525">
        <v>33</v>
      </c>
      <c r="L525">
        <v>18</v>
      </c>
      <c r="M525">
        <v>0.85</v>
      </c>
      <c r="N525">
        <v>14</v>
      </c>
      <c r="O525">
        <v>0.9</v>
      </c>
      <c r="P525" t="s">
        <v>24</v>
      </c>
    </row>
    <row r="526" spans="1:16" x14ac:dyDescent="0.35">
      <c r="A526" t="s">
        <v>552</v>
      </c>
      <c r="B526">
        <v>525</v>
      </c>
      <c r="C526">
        <v>19</v>
      </c>
      <c r="D526" t="s">
        <v>32</v>
      </c>
      <c r="E526" t="s">
        <v>46</v>
      </c>
      <c r="F526">
        <v>3.08</v>
      </c>
      <c r="G526">
        <v>6</v>
      </c>
      <c r="H526">
        <v>77.7</v>
      </c>
      <c r="I526">
        <v>0.78</v>
      </c>
      <c r="J526" t="s">
        <v>18</v>
      </c>
      <c r="K526">
        <v>13</v>
      </c>
      <c r="L526">
        <v>32</v>
      </c>
      <c r="M526">
        <v>0.7</v>
      </c>
      <c r="N526">
        <v>12</v>
      </c>
      <c r="O526">
        <v>0.71</v>
      </c>
      <c r="P526" t="s">
        <v>24</v>
      </c>
    </row>
    <row r="527" spans="1:16" x14ac:dyDescent="0.35">
      <c r="A527" t="s">
        <v>553</v>
      </c>
      <c r="B527">
        <v>526</v>
      </c>
      <c r="C527">
        <v>24</v>
      </c>
      <c r="D527" t="s">
        <v>32</v>
      </c>
      <c r="E527" t="s">
        <v>46</v>
      </c>
      <c r="F527">
        <v>3.88</v>
      </c>
      <c r="G527">
        <v>5</v>
      </c>
      <c r="H527">
        <v>72.8</v>
      </c>
      <c r="I527">
        <v>0.6</v>
      </c>
      <c r="J527" t="s">
        <v>23</v>
      </c>
      <c r="K527">
        <v>22</v>
      </c>
      <c r="L527">
        <v>80</v>
      </c>
      <c r="M527">
        <v>0.52</v>
      </c>
      <c r="N527">
        <v>11</v>
      </c>
      <c r="O527">
        <v>0.56000000000000005</v>
      </c>
      <c r="P527" t="s">
        <v>19</v>
      </c>
    </row>
    <row r="528" spans="1:16" x14ac:dyDescent="0.35">
      <c r="A528" t="s">
        <v>554</v>
      </c>
      <c r="B528">
        <v>527</v>
      </c>
      <c r="C528">
        <v>20</v>
      </c>
      <c r="D528" t="s">
        <v>21</v>
      </c>
      <c r="E528" t="s">
        <v>46</v>
      </c>
      <c r="F528">
        <v>2.44</v>
      </c>
      <c r="G528">
        <v>4</v>
      </c>
      <c r="H528">
        <v>81</v>
      </c>
      <c r="I528">
        <v>0.93</v>
      </c>
      <c r="J528" t="s">
        <v>18</v>
      </c>
      <c r="K528">
        <v>19</v>
      </c>
      <c r="L528">
        <v>82</v>
      </c>
      <c r="M528">
        <v>0.98</v>
      </c>
      <c r="N528">
        <v>4</v>
      </c>
      <c r="O528">
        <v>0.72</v>
      </c>
      <c r="P528" t="s">
        <v>19</v>
      </c>
    </row>
    <row r="529" spans="1:16" x14ac:dyDescent="0.35">
      <c r="A529" t="s">
        <v>555</v>
      </c>
      <c r="B529">
        <v>528</v>
      </c>
      <c r="C529">
        <v>19</v>
      </c>
      <c r="D529" t="s">
        <v>16</v>
      </c>
      <c r="E529" t="s">
        <v>22</v>
      </c>
      <c r="F529">
        <v>3.45</v>
      </c>
      <c r="G529">
        <v>3</v>
      </c>
      <c r="H529">
        <v>87.5</v>
      </c>
      <c r="I529">
        <v>0.74</v>
      </c>
      <c r="J529" t="s">
        <v>18</v>
      </c>
      <c r="K529">
        <v>12</v>
      </c>
      <c r="L529">
        <v>36</v>
      </c>
      <c r="M529">
        <v>0.99</v>
      </c>
      <c r="N529">
        <v>1</v>
      </c>
      <c r="O529">
        <v>0.73</v>
      </c>
      <c r="P529" t="s">
        <v>19</v>
      </c>
    </row>
    <row r="530" spans="1:16" x14ac:dyDescent="0.35">
      <c r="A530" t="s">
        <v>556</v>
      </c>
      <c r="B530">
        <v>529</v>
      </c>
      <c r="C530">
        <v>19</v>
      </c>
      <c r="D530" t="s">
        <v>16</v>
      </c>
      <c r="E530" t="s">
        <v>22</v>
      </c>
      <c r="F530">
        <v>3.23</v>
      </c>
      <c r="G530">
        <v>3</v>
      </c>
      <c r="H530">
        <v>70.900000000000006</v>
      </c>
      <c r="I530">
        <v>0.82</v>
      </c>
      <c r="J530" t="s">
        <v>18</v>
      </c>
      <c r="K530">
        <v>31</v>
      </c>
      <c r="L530">
        <v>80</v>
      </c>
      <c r="M530">
        <v>0.77</v>
      </c>
      <c r="N530">
        <v>3</v>
      </c>
      <c r="O530">
        <v>0.78</v>
      </c>
      <c r="P530" t="s">
        <v>24</v>
      </c>
    </row>
    <row r="531" spans="1:16" x14ac:dyDescent="0.35">
      <c r="A531" t="s">
        <v>557</v>
      </c>
      <c r="B531">
        <v>530</v>
      </c>
      <c r="C531">
        <v>19</v>
      </c>
      <c r="D531" t="s">
        <v>32</v>
      </c>
      <c r="E531" t="s">
        <v>30</v>
      </c>
      <c r="F531">
        <v>3.48</v>
      </c>
      <c r="G531">
        <v>5</v>
      </c>
      <c r="H531">
        <v>89.5</v>
      </c>
      <c r="I531">
        <v>0.87</v>
      </c>
      <c r="J531" t="s">
        <v>28</v>
      </c>
      <c r="K531">
        <v>25</v>
      </c>
      <c r="L531">
        <v>52</v>
      </c>
      <c r="M531">
        <v>0.54</v>
      </c>
      <c r="N531">
        <v>17</v>
      </c>
      <c r="O531">
        <v>0.55000000000000004</v>
      </c>
      <c r="P531" t="s">
        <v>41</v>
      </c>
    </row>
    <row r="532" spans="1:16" x14ac:dyDescent="0.35">
      <c r="A532" t="s">
        <v>558</v>
      </c>
      <c r="B532">
        <v>531</v>
      </c>
      <c r="C532">
        <v>18</v>
      </c>
      <c r="D532" t="s">
        <v>21</v>
      </c>
      <c r="E532" t="s">
        <v>17</v>
      </c>
      <c r="F532">
        <v>2.4300000000000002</v>
      </c>
      <c r="G532">
        <v>5</v>
      </c>
      <c r="H532">
        <v>62.1</v>
      </c>
      <c r="I532">
        <v>0.88</v>
      </c>
      <c r="J532" t="s">
        <v>23</v>
      </c>
      <c r="K532">
        <v>13</v>
      </c>
      <c r="L532">
        <v>16</v>
      </c>
      <c r="M532">
        <v>0.77</v>
      </c>
      <c r="N532">
        <v>9</v>
      </c>
      <c r="O532">
        <v>1</v>
      </c>
      <c r="P532" t="s">
        <v>19</v>
      </c>
    </row>
    <row r="533" spans="1:16" x14ac:dyDescent="0.35">
      <c r="A533" t="s">
        <v>559</v>
      </c>
      <c r="B533">
        <v>532</v>
      </c>
      <c r="C533">
        <v>25</v>
      </c>
      <c r="D533" t="s">
        <v>21</v>
      </c>
      <c r="E533" t="s">
        <v>30</v>
      </c>
      <c r="F533">
        <v>3.33</v>
      </c>
      <c r="G533">
        <v>6</v>
      </c>
      <c r="H533">
        <v>62</v>
      </c>
      <c r="I533">
        <v>0.98</v>
      </c>
      <c r="J533" t="s">
        <v>28</v>
      </c>
      <c r="K533">
        <v>35</v>
      </c>
      <c r="L533">
        <v>72</v>
      </c>
      <c r="M533">
        <v>0.95</v>
      </c>
      <c r="N533">
        <v>12</v>
      </c>
      <c r="O533">
        <v>0.62</v>
      </c>
      <c r="P533" t="s">
        <v>41</v>
      </c>
    </row>
    <row r="534" spans="1:16" x14ac:dyDescent="0.35">
      <c r="A534" t="s">
        <v>560</v>
      </c>
      <c r="B534">
        <v>533</v>
      </c>
      <c r="C534">
        <v>18</v>
      </c>
      <c r="D534" t="s">
        <v>16</v>
      </c>
      <c r="E534" t="s">
        <v>46</v>
      </c>
      <c r="F534">
        <v>3</v>
      </c>
      <c r="G534">
        <v>6</v>
      </c>
      <c r="H534">
        <v>75.5</v>
      </c>
      <c r="I534">
        <v>0.81</v>
      </c>
      <c r="J534" t="s">
        <v>23</v>
      </c>
      <c r="K534">
        <v>7</v>
      </c>
      <c r="L534">
        <v>53</v>
      </c>
      <c r="M534">
        <v>0.84</v>
      </c>
      <c r="N534">
        <v>11</v>
      </c>
      <c r="O534">
        <v>0.6</v>
      </c>
      <c r="P534" t="s">
        <v>24</v>
      </c>
    </row>
    <row r="535" spans="1:16" x14ac:dyDescent="0.35">
      <c r="A535" t="s">
        <v>561</v>
      </c>
      <c r="B535">
        <v>534</v>
      </c>
      <c r="C535">
        <v>18</v>
      </c>
      <c r="D535" t="s">
        <v>21</v>
      </c>
      <c r="E535" t="s">
        <v>22</v>
      </c>
      <c r="F535">
        <v>3.49</v>
      </c>
      <c r="G535">
        <v>5</v>
      </c>
      <c r="H535">
        <v>74.099999999999994</v>
      </c>
      <c r="I535">
        <v>0.76</v>
      </c>
      <c r="J535" t="s">
        <v>28</v>
      </c>
      <c r="K535">
        <v>39</v>
      </c>
      <c r="L535">
        <v>48</v>
      </c>
      <c r="M535">
        <v>0.86</v>
      </c>
      <c r="N535">
        <v>1</v>
      </c>
      <c r="O535">
        <v>0.76</v>
      </c>
      <c r="P535" t="s">
        <v>24</v>
      </c>
    </row>
    <row r="536" spans="1:16" x14ac:dyDescent="0.35">
      <c r="A536" t="s">
        <v>562</v>
      </c>
      <c r="B536">
        <v>535</v>
      </c>
      <c r="C536">
        <v>20</v>
      </c>
      <c r="D536" t="s">
        <v>21</v>
      </c>
      <c r="E536" t="s">
        <v>22</v>
      </c>
      <c r="F536">
        <v>2.65</v>
      </c>
      <c r="G536">
        <v>4</v>
      </c>
      <c r="H536">
        <v>72.599999999999994</v>
      </c>
      <c r="I536">
        <v>0.98</v>
      </c>
      <c r="J536" t="s">
        <v>23</v>
      </c>
      <c r="K536">
        <v>21</v>
      </c>
      <c r="L536">
        <v>49</v>
      </c>
      <c r="M536">
        <v>0.54</v>
      </c>
      <c r="N536">
        <v>14</v>
      </c>
      <c r="O536">
        <v>0.77</v>
      </c>
      <c r="P536" t="s">
        <v>24</v>
      </c>
    </row>
    <row r="537" spans="1:16" x14ac:dyDescent="0.35">
      <c r="A537" t="s">
        <v>563</v>
      </c>
      <c r="B537">
        <v>536</v>
      </c>
      <c r="C537">
        <v>23</v>
      </c>
      <c r="D537" t="s">
        <v>32</v>
      </c>
      <c r="E537" t="s">
        <v>30</v>
      </c>
      <c r="F537">
        <v>3.78</v>
      </c>
      <c r="G537">
        <v>6</v>
      </c>
      <c r="H537">
        <v>79.599999999999994</v>
      </c>
      <c r="I537">
        <v>0.86</v>
      </c>
      <c r="J537" t="s">
        <v>28</v>
      </c>
      <c r="K537">
        <v>21</v>
      </c>
      <c r="L537">
        <v>16</v>
      </c>
      <c r="M537">
        <v>0.55000000000000004</v>
      </c>
      <c r="N537">
        <v>13</v>
      </c>
      <c r="O537">
        <v>0.72</v>
      </c>
      <c r="P537" t="s">
        <v>41</v>
      </c>
    </row>
    <row r="538" spans="1:16" x14ac:dyDescent="0.35">
      <c r="A538" t="s">
        <v>564</v>
      </c>
      <c r="B538">
        <v>537</v>
      </c>
      <c r="C538">
        <v>25</v>
      </c>
      <c r="D538" t="s">
        <v>21</v>
      </c>
      <c r="E538" t="s">
        <v>22</v>
      </c>
      <c r="F538">
        <v>2.17</v>
      </c>
      <c r="G538">
        <v>5</v>
      </c>
      <c r="H538">
        <v>72.8</v>
      </c>
      <c r="I538">
        <v>0.72</v>
      </c>
      <c r="J538" t="s">
        <v>18</v>
      </c>
      <c r="K538">
        <v>15</v>
      </c>
      <c r="L538">
        <v>79</v>
      </c>
      <c r="M538">
        <v>0.56000000000000005</v>
      </c>
      <c r="N538">
        <v>9</v>
      </c>
      <c r="O538">
        <v>0.89</v>
      </c>
      <c r="P538" t="s">
        <v>19</v>
      </c>
    </row>
    <row r="539" spans="1:16" x14ac:dyDescent="0.35">
      <c r="A539" t="s">
        <v>565</v>
      </c>
      <c r="B539">
        <v>538</v>
      </c>
      <c r="C539">
        <v>24</v>
      </c>
      <c r="D539" t="s">
        <v>32</v>
      </c>
      <c r="E539" t="s">
        <v>46</v>
      </c>
      <c r="F539">
        <v>3.61</v>
      </c>
      <c r="G539">
        <v>6</v>
      </c>
      <c r="H539">
        <v>67.7</v>
      </c>
      <c r="I539">
        <v>0.65</v>
      </c>
      <c r="J539" t="s">
        <v>28</v>
      </c>
      <c r="K539">
        <v>26</v>
      </c>
      <c r="L539">
        <v>34</v>
      </c>
      <c r="M539">
        <v>0.95</v>
      </c>
      <c r="N539">
        <v>7</v>
      </c>
      <c r="O539">
        <v>0.76</v>
      </c>
      <c r="P539" t="s">
        <v>19</v>
      </c>
    </row>
    <row r="540" spans="1:16" x14ac:dyDescent="0.35">
      <c r="A540" t="s">
        <v>566</v>
      </c>
      <c r="B540">
        <v>539</v>
      </c>
      <c r="C540">
        <v>22</v>
      </c>
      <c r="D540" t="s">
        <v>16</v>
      </c>
      <c r="E540" t="s">
        <v>22</v>
      </c>
      <c r="F540">
        <v>3.72</v>
      </c>
      <c r="G540">
        <v>5</v>
      </c>
      <c r="H540">
        <v>72.400000000000006</v>
      </c>
      <c r="I540">
        <v>0.94</v>
      </c>
      <c r="J540" t="s">
        <v>28</v>
      </c>
      <c r="K540">
        <v>9</v>
      </c>
      <c r="L540">
        <v>68</v>
      </c>
      <c r="M540">
        <v>0.76</v>
      </c>
      <c r="N540">
        <v>14</v>
      </c>
      <c r="O540">
        <v>0.8</v>
      </c>
      <c r="P540" t="s">
        <v>41</v>
      </c>
    </row>
    <row r="541" spans="1:16" x14ac:dyDescent="0.35">
      <c r="A541" t="s">
        <v>567</v>
      </c>
      <c r="B541">
        <v>540</v>
      </c>
      <c r="C541">
        <v>19</v>
      </c>
      <c r="D541" t="s">
        <v>21</v>
      </c>
      <c r="E541" t="s">
        <v>30</v>
      </c>
      <c r="F541">
        <v>3.63</v>
      </c>
      <c r="G541">
        <v>3</v>
      </c>
      <c r="H541">
        <v>99</v>
      </c>
      <c r="I541">
        <v>0.74</v>
      </c>
      <c r="J541" t="s">
        <v>18</v>
      </c>
      <c r="K541">
        <v>24</v>
      </c>
      <c r="L541">
        <v>22</v>
      </c>
      <c r="M541">
        <v>0.9</v>
      </c>
      <c r="N541">
        <v>12</v>
      </c>
      <c r="O541">
        <v>0.86</v>
      </c>
      <c r="P541" t="s">
        <v>19</v>
      </c>
    </row>
    <row r="542" spans="1:16" x14ac:dyDescent="0.35">
      <c r="A542" t="s">
        <v>568</v>
      </c>
      <c r="B542">
        <v>541</v>
      </c>
      <c r="C542">
        <v>24</v>
      </c>
      <c r="D542" t="s">
        <v>16</v>
      </c>
      <c r="E542" t="s">
        <v>46</v>
      </c>
      <c r="F542">
        <v>3.03</v>
      </c>
      <c r="G542">
        <v>5</v>
      </c>
      <c r="H542">
        <v>76.400000000000006</v>
      </c>
      <c r="I542">
        <v>0.86</v>
      </c>
      <c r="J542" t="s">
        <v>18</v>
      </c>
      <c r="K542">
        <v>30</v>
      </c>
      <c r="L542">
        <v>71</v>
      </c>
      <c r="M542">
        <v>0.56000000000000005</v>
      </c>
      <c r="N542">
        <v>7</v>
      </c>
      <c r="O542">
        <v>0.51</v>
      </c>
      <c r="P542" t="s">
        <v>41</v>
      </c>
    </row>
    <row r="543" spans="1:16" x14ac:dyDescent="0.35">
      <c r="A543" t="s">
        <v>569</v>
      </c>
      <c r="B543">
        <v>542</v>
      </c>
      <c r="C543">
        <v>19</v>
      </c>
      <c r="D543" t="s">
        <v>16</v>
      </c>
      <c r="E543" t="s">
        <v>30</v>
      </c>
      <c r="F543">
        <v>2.88</v>
      </c>
      <c r="G543">
        <v>3</v>
      </c>
      <c r="H543">
        <v>77.8</v>
      </c>
      <c r="I543">
        <v>0.79</v>
      </c>
      <c r="J543" t="s">
        <v>23</v>
      </c>
      <c r="K543">
        <v>20</v>
      </c>
      <c r="L543">
        <v>17</v>
      </c>
      <c r="M543">
        <v>0.96</v>
      </c>
      <c r="N543">
        <v>13</v>
      </c>
      <c r="O543">
        <v>0.79</v>
      </c>
      <c r="P543" t="s">
        <v>24</v>
      </c>
    </row>
    <row r="544" spans="1:16" x14ac:dyDescent="0.35">
      <c r="A544" t="s">
        <v>570</v>
      </c>
      <c r="B544">
        <v>543</v>
      </c>
      <c r="C544">
        <v>20</v>
      </c>
      <c r="D544" t="s">
        <v>21</v>
      </c>
      <c r="E544" t="s">
        <v>22</v>
      </c>
      <c r="F544">
        <v>3.99</v>
      </c>
      <c r="G544">
        <v>6</v>
      </c>
      <c r="H544">
        <v>83.1</v>
      </c>
      <c r="I544">
        <v>0.68</v>
      </c>
      <c r="J544" t="s">
        <v>23</v>
      </c>
      <c r="K544">
        <v>26</v>
      </c>
      <c r="L544">
        <v>54</v>
      </c>
      <c r="M544">
        <v>0.91</v>
      </c>
      <c r="N544">
        <v>0</v>
      </c>
      <c r="O544">
        <v>0.94</v>
      </c>
      <c r="P544" t="s">
        <v>19</v>
      </c>
    </row>
    <row r="545" spans="1:16" x14ac:dyDescent="0.35">
      <c r="A545" t="s">
        <v>571</v>
      </c>
      <c r="B545">
        <v>544</v>
      </c>
      <c r="C545">
        <v>19</v>
      </c>
      <c r="D545" t="s">
        <v>21</v>
      </c>
      <c r="E545" t="s">
        <v>30</v>
      </c>
      <c r="F545">
        <v>2.46</v>
      </c>
      <c r="G545">
        <v>5</v>
      </c>
      <c r="H545">
        <v>99.3</v>
      </c>
      <c r="I545">
        <v>0.84</v>
      </c>
      <c r="J545" t="s">
        <v>23</v>
      </c>
      <c r="K545">
        <v>16</v>
      </c>
      <c r="L545">
        <v>27</v>
      </c>
      <c r="M545">
        <v>0.61</v>
      </c>
      <c r="N545">
        <v>12</v>
      </c>
      <c r="O545">
        <v>0.51</v>
      </c>
      <c r="P545" t="s">
        <v>19</v>
      </c>
    </row>
    <row r="546" spans="1:16" x14ac:dyDescent="0.35">
      <c r="A546" t="s">
        <v>572</v>
      </c>
      <c r="B546">
        <v>545</v>
      </c>
      <c r="C546">
        <v>18</v>
      </c>
      <c r="D546" t="s">
        <v>16</v>
      </c>
      <c r="E546" t="s">
        <v>30</v>
      </c>
      <c r="F546">
        <v>3.09</v>
      </c>
      <c r="G546">
        <v>6</v>
      </c>
      <c r="H546">
        <v>69.7</v>
      </c>
      <c r="I546">
        <v>0.62</v>
      </c>
      <c r="J546" t="s">
        <v>28</v>
      </c>
      <c r="K546">
        <v>32</v>
      </c>
      <c r="L546">
        <v>69</v>
      </c>
      <c r="M546">
        <v>0.94</v>
      </c>
      <c r="N546">
        <v>7</v>
      </c>
      <c r="O546">
        <v>0.7</v>
      </c>
      <c r="P546" t="s">
        <v>19</v>
      </c>
    </row>
    <row r="547" spans="1:16" x14ac:dyDescent="0.35">
      <c r="A547" t="s">
        <v>573</v>
      </c>
      <c r="B547">
        <v>546</v>
      </c>
      <c r="C547">
        <v>25</v>
      </c>
      <c r="D547" t="s">
        <v>21</v>
      </c>
      <c r="E547" t="s">
        <v>17</v>
      </c>
      <c r="F547">
        <v>3.34</v>
      </c>
      <c r="G547">
        <v>3</v>
      </c>
      <c r="H547">
        <v>87.3</v>
      </c>
      <c r="I547">
        <v>0.77</v>
      </c>
      <c r="J547" t="s">
        <v>23</v>
      </c>
      <c r="K547">
        <v>30</v>
      </c>
      <c r="L547">
        <v>69</v>
      </c>
      <c r="M547">
        <v>0.63</v>
      </c>
      <c r="N547">
        <v>17</v>
      </c>
      <c r="O547">
        <v>0.96</v>
      </c>
      <c r="P547" t="s">
        <v>24</v>
      </c>
    </row>
    <row r="548" spans="1:16" x14ac:dyDescent="0.35">
      <c r="A548" t="s">
        <v>574</v>
      </c>
      <c r="B548">
        <v>547</v>
      </c>
      <c r="C548">
        <v>22</v>
      </c>
      <c r="D548" t="s">
        <v>32</v>
      </c>
      <c r="E548" t="s">
        <v>22</v>
      </c>
      <c r="F548">
        <v>3.4</v>
      </c>
      <c r="G548">
        <v>5</v>
      </c>
      <c r="H548">
        <v>88.6</v>
      </c>
      <c r="I548">
        <v>0.82</v>
      </c>
      <c r="J548" t="s">
        <v>28</v>
      </c>
      <c r="K548">
        <v>25</v>
      </c>
      <c r="L548">
        <v>11</v>
      </c>
      <c r="M548">
        <v>0.6</v>
      </c>
      <c r="N548">
        <v>8</v>
      </c>
      <c r="O548">
        <v>0.68</v>
      </c>
      <c r="P548" t="s">
        <v>24</v>
      </c>
    </row>
    <row r="549" spans="1:16" x14ac:dyDescent="0.35">
      <c r="A549" t="s">
        <v>575</v>
      </c>
      <c r="B549">
        <v>548</v>
      </c>
      <c r="C549">
        <v>21</v>
      </c>
      <c r="D549" t="s">
        <v>32</v>
      </c>
      <c r="E549" t="s">
        <v>22</v>
      </c>
      <c r="F549">
        <v>2.41</v>
      </c>
      <c r="G549">
        <v>6</v>
      </c>
      <c r="H549">
        <v>84.3</v>
      </c>
      <c r="I549">
        <v>0.77</v>
      </c>
      <c r="J549" t="s">
        <v>28</v>
      </c>
      <c r="K549">
        <v>20</v>
      </c>
      <c r="L549">
        <v>75</v>
      </c>
      <c r="M549">
        <v>0.63</v>
      </c>
      <c r="N549">
        <v>12</v>
      </c>
      <c r="O549">
        <v>0.73</v>
      </c>
      <c r="P549" t="s">
        <v>19</v>
      </c>
    </row>
    <row r="550" spans="1:16" x14ac:dyDescent="0.35">
      <c r="A550" t="s">
        <v>576</v>
      </c>
      <c r="B550">
        <v>549</v>
      </c>
      <c r="C550">
        <v>19</v>
      </c>
      <c r="D550" t="s">
        <v>21</v>
      </c>
      <c r="E550" t="s">
        <v>30</v>
      </c>
      <c r="F550">
        <v>3.31</v>
      </c>
      <c r="G550">
        <v>3</v>
      </c>
      <c r="H550">
        <v>63.5</v>
      </c>
      <c r="I550">
        <v>0.9</v>
      </c>
      <c r="J550" t="s">
        <v>23</v>
      </c>
      <c r="K550">
        <v>35</v>
      </c>
      <c r="L550">
        <v>23</v>
      </c>
      <c r="M550">
        <v>0.95</v>
      </c>
      <c r="N550">
        <v>2</v>
      </c>
      <c r="O550">
        <v>0.99</v>
      </c>
      <c r="P550" t="s">
        <v>41</v>
      </c>
    </row>
    <row r="551" spans="1:16" x14ac:dyDescent="0.35">
      <c r="A551" t="s">
        <v>577</v>
      </c>
      <c r="B551">
        <v>550</v>
      </c>
      <c r="C551">
        <v>24</v>
      </c>
      <c r="D551" t="s">
        <v>16</v>
      </c>
      <c r="E551" t="s">
        <v>17</v>
      </c>
      <c r="F551">
        <v>3.64</v>
      </c>
      <c r="G551">
        <v>6</v>
      </c>
      <c r="H551">
        <v>87.1</v>
      </c>
      <c r="I551">
        <v>0.93</v>
      </c>
      <c r="J551" t="s">
        <v>23</v>
      </c>
      <c r="K551">
        <v>0</v>
      </c>
      <c r="L551">
        <v>57</v>
      </c>
      <c r="M551">
        <v>0.96</v>
      </c>
      <c r="N551">
        <v>17</v>
      </c>
      <c r="O551">
        <v>0.6</v>
      </c>
      <c r="P551" t="s">
        <v>41</v>
      </c>
    </row>
    <row r="552" spans="1:16" x14ac:dyDescent="0.35">
      <c r="A552" t="s">
        <v>578</v>
      </c>
      <c r="B552">
        <v>551</v>
      </c>
      <c r="C552">
        <v>18</v>
      </c>
      <c r="D552" t="s">
        <v>21</v>
      </c>
      <c r="E552" t="s">
        <v>22</v>
      </c>
      <c r="F552">
        <v>2.1</v>
      </c>
      <c r="G552">
        <v>4</v>
      </c>
      <c r="H552">
        <v>62.6</v>
      </c>
      <c r="I552">
        <v>0.91</v>
      </c>
      <c r="J552" t="s">
        <v>28</v>
      </c>
      <c r="K552">
        <v>3</v>
      </c>
      <c r="L552">
        <v>65</v>
      </c>
      <c r="M552">
        <v>0.66</v>
      </c>
      <c r="N552">
        <v>9</v>
      </c>
      <c r="O552">
        <v>0.53</v>
      </c>
      <c r="P552" t="s">
        <v>19</v>
      </c>
    </row>
    <row r="553" spans="1:16" x14ac:dyDescent="0.35">
      <c r="A553" t="s">
        <v>579</v>
      </c>
      <c r="B553">
        <v>552</v>
      </c>
      <c r="C553">
        <v>21</v>
      </c>
      <c r="D553" t="s">
        <v>21</v>
      </c>
      <c r="E553" t="s">
        <v>46</v>
      </c>
      <c r="F553">
        <v>3.82</v>
      </c>
      <c r="G553">
        <v>3</v>
      </c>
      <c r="H553">
        <v>83.8</v>
      </c>
      <c r="I553">
        <v>0.62</v>
      </c>
      <c r="J553" t="s">
        <v>18</v>
      </c>
      <c r="K553">
        <v>3</v>
      </c>
      <c r="L553">
        <v>21</v>
      </c>
      <c r="M553">
        <v>0.85</v>
      </c>
      <c r="N553">
        <v>4</v>
      </c>
      <c r="O553">
        <v>0.93</v>
      </c>
      <c r="P553" t="s">
        <v>19</v>
      </c>
    </row>
    <row r="554" spans="1:16" x14ac:dyDescent="0.35">
      <c r="A554" t="s">
        <v>580</v>
      </c>
      <c r="B554">
        <v>553</v>
      </c>
      <c r="C554">
        <v>22</v>
      </c>
      <c r="D554" t="s">
        <v>16</v>
      </c>
      <c r="E554" t="s">
        <v>30</v>
      </c>
      <c r="F554">
        <v>2.06</v>
      </c>
      <c r="G554">
        <v>3</v>
      </c>
      <c r="H554">
        <v>89.6</v>
      </c>
      <c r="I554">
        <v>0.68</v>
      </c>
      <c r="J554" t="s">
        <v>18</v>
      </c>
      <c r="K554">
        <v>25</v>
      </c>
      <c r="L554">
        <v>64</v>
      </c>
      <c r="M554">
        <v>0.84</v>
      </c>
      <c r="N554">
        <v>5</v>
      </c>
      <c r="O554">
        <v>0.93</v>
      </c>
      <c r="P554" t="s">
        <v>19</v>
      </c>
    </row>
    <row r="555" spans="1:16" x14ac:dyDescent="0.35">
      <c r="A555" t="s">
        <v>581</v>
      </c>
      <c r="B555">
        <v>554</v>
      </c>
      <c r="C555">
        <v>21</v>
      </c>
      <c r="D555" t="s">
        <v>16</v>
      </c>
      <c r="E555" t="s">
        <v>22</v>
      </c>
      <c r="F555">
        <v>2.71</v>
      </c>
      <c r="G555">
        <v>3</v>
      </c>
      <c r="H555">
        <v>68.400000000000006</v>
      </c>
      <c r="I555">
        <v>0.81</v>
      </c>
      <c r="J555" t="s">
        <v>28</v>
      </c>
      <c r="K555">
        <v>3</v>
      </c>
      <c r="L555">
        <v>37</v>
      </c>
      <c r="M555">
        <v>0.9</v>
      </c>
      <c r="N555">
        <v>7</v>
      </c>
      <c r="O555">
        <v>0.74</v>
      </c>
      <c r="P555" t="s">
        <v>24</v>
      </c>
    </row>
    <row r="556" spans="1:16" x14ac:dyDescent="0.35">
      <c r="A556" t="s">
        <v>582</v>
      </c>
      <c r="B556">
        <v>555</v>
      </c>
      <c r="C556">
        <v>18</v>
      </c>
      <c r="D556" t="s">
        <v>32</v>
      </c>
      <c r="E556" t="s">
        <v>46</v>
      </c>
      <c r="F556">
        <v>2.0299999999999998</v>
      </c>
      <c r="G556">
        <v>5</v>
      </c>
      <c r="H556">
        <v>93.7</v>
      </c>
      <c r="I556">
        <v>0.97</v>
      </c>
      <c r="J556" t="s">
        <v>23</v>
      </c>
      <c r="K556">
        <v>8</v>
      </c>
      <c r="L556">
        <v>13</v>
      </c>
      <c r="M556">
        <v>0.65</v>
      </c>
      <c r="N556">
        <v>6</v>
      </c>
      <c r="O556">
        <v>0.76</v>
      </c>
      <c r="P556" t="s">
        <v>19</v>
      </c>
    </row>
    <row r="557" spans="1:16" x14ac:dyDescent="0.35">
      <c r="A557" t="s">
        <v>583</v>
      </c>
      <c r="B557">
        <v>556</v>
      </c>
      <c r="C557">
        <v>25</v>
      </c>
      <c r="D557" t="s">
        <v>16</v>
      </c>
      <c r="E557" t="s">
        <v>22</v>
      </c>
      <c r="F557">
        <v>2.15</v>
      </c>
      <c r="G557">
        <v>5</v>
      </c>
      <c r="H557">
        <v>61.2</v>
      </c>
      <c r="I557">
        <v>0.93</v>
      </c>
      <c r="J557" t="s">
        <v>28</v>
      </c>
      <c r="K557">
        <v>29</v>
      </c>
      <c r="L557">
        <v>45</v>
      </c>
      <c r="M557">
        <v>0.76</v>
      </c>
      <c r="N557">
        <v>17</v>
      </c>
      <c r="O557">
        <v>0.92</v>
      </c>
      <c r="P557" t="s">
        <v>19</v>
      </c>
    </row>
    <row r="558" spans="1:16" x14ac:dyDescent="0.35">
      <c r="A558" t="s">
        <v>584</v>
      </c>
      <c r="B558">
        <v>557</v>
      </c>
      <c r="C558">
        <v>25</v>
      </c>
      <c r="D558" t="s">
        <v>32</v>
      </c>
      <c r="E558" t="s">
        <v>46</v>
      </c>
      <c r="F558">
        <v>3.82</v>
      </c>
      <c r="G558">
        <v>5</v>
      </c>
      <c r="H558">
        <v>93.8</v>
      </c>
      <c r="I558">
        <v>0.94</v>
      </c>
      <c r="J558" t="s">
        <v>28</v>
      </c>
      <c r="K558">
        <v>3</v>
      </c>
      <c r="L558">
        <v>59</v>
      </c>
      <c r="M558">
        <v>0.83</v>
      </c>
      <c r="N558">
        <v>13</v>
      </c>
      <c r="O558">
        <v>0.87</v>
      </c>
      <c r="P558" t="s">
        <v>41</v>
      </c>
    </row>
    <row r="559" spans="1:16" x14ac:dyDescent="0.35">
      <c r="A559" t="s">
        <v>585</v>
      </c>
      <c r="B559">
        <v>558</v>
      </c>
      <c r="C559">
        <v>23</v>
      </c>
      <c r="D559" t="s">
        <v>16</v>
      </c>
      <c r="E559" t="s">
        <v>30</v>
      </c>
      <c r="F559">
        <v>2.71</v>
      </c>
      <c r="G559">
        <v>4</v>
      </c>
      <c r="H559">
        <v>78.400000000000006</v>
      </c>
      <c r="I559">
        <v>0.72</v>
      </c>
      <c r="J559" t="s">
        <v>23</v>
      </c>
      <c r="K559">
        <v>4</v>
      </c>
      <c r="L559">
        <v>12</v>
      </c>
      <c r="M559">
        <v>0.51</v>
      </c>
      <c r="N559">
        <v>14</v>
      </c>
      <c r="O559">
        <v>0.63</v>
      </c>
      <c r="P559" t="s">
        <v>19</v>
      </c>
    </row>
    <row r="560" spans="1:16" x14ac:dyDescent="0.35">
      <c r="A560" t="s">
        <v>586</v>
      </c>
      <c r="B560">
        <v>559</v>
      </c>
      <c r="C560">
        <v>25</v>
      </c>
      <c r="D560" t="s">
        <v>21</v>
      </c>
      <c r="E560" t="s">
        <v>22</v>
      </c>
      <c r="F560">
        <v>2.85</v>
      </c>
      <c r="G560">
        <v>4</v>
      </c>
      <c r="H560">
        <v>68.7</v>
      </c>
      <c r="I560">
        <v>0.77</v>
      </c>
      <c r="J560" t="s">
        <v>18</v>
      </c>
      <c r="K560">
        <v>22</v>
      </c>
      <c r="L560">
        <v>10</v>
      </c>
      <c r="M560">
        <v>0.69</v>
      </c>
      <c r="N560">
        <v>9</v>
      </c>
      <c r="O560">
        <v>0.51</v>
      </c>
      <c r="P560" t="s">
        <v>24</v>
      </c>
    </row>
    <row r="561" spans="1:16" x14ac:dyDescent="0.35">
      <c r="A561" t="s">
        <v>587</v>
      </c>
      <c r="B561">
        <v>560</v>
      </c>
      <c r="C561">
        <v>23</v>
      </c>
      <c r="D561" t="s">
        <v>32</v>
      </c>
      <c r="E561" t="s">
        <v>22</v>
      </c>
      <c r="F561">
        <v>2.4300000000000002</v>
      </c>
      <c r="G561">
        <v>3</v>
      </c>
      <c r="H561">
        <v>65.400000000000006</v>
      </c>
      <c r="I561">
        <v>0.79</v>
      </c>
      <c r="J561" t="s">
        <v>28</v>
      </c>
      <c r="K561">
        <v>15</v>
      </c>
      <c r="L561">
        <v>26</v>
      </c>
      <c r="M561">
        <v>0.85</v>
      </c>
      <c r="N561">
        <v>11</v>
      </c>
      <c r="O561">
        <v>0.74</v>
      </c>
      <c r="P561" t="s">
        <v>19</v>
      </c>
    </row>
    <row r="562" spans="1:16" x14ac:dyDescent="0.35">
      <c r="A562" t="s">
        <v>588</v>
      </c>
      <c r="B562">
        <v>561</v>
      </c>
      <c r="C562">
        <v>21</v>
      </c>
      <c r="D562" t="s">
        <v>32</v>
      </c>
      <c r="E562" t="s">
        <v>17</v>
      </c>
      <c r="F562">
        <v>3.19</v>
      </c>
      <c r="G562">
        <v>4</v>
      </c>
      <c r="H562">
        <v>98.1</v>
      </c>
      <c r="I562">
        <v>0.66</v>
      </c>
      <c r="J562" t="s">
        <v>18</v>
      </c>
      <c r="K562">
        <v>21</v>
      </c>
      <c r="L562">
        <v>80</v>
      </c>
      <c r="M562">
        <v>0.63</v>
      </c>
      <c r="N562">
        <v>6</v>
      </c>
      <c r="O562">
        <v>0.93</v>
      </c>
      <c r="P562" t="s">
        <v>19</v>
      </c>
    </row>
    <row r="563" spans="1:16" x14ac:dyDescent="0.35">
      <c r="A563" t="s">
        <v>589</v>
      </c>
      <c r="B563">
        <v>562</v>
      </c>
      <c r="C563">
        <v>20</v>
      </c>
      <c r="D563" t="s">
        <v>32</v>
      </c>
      <c r="E563" t="s">
        <v>30</v>
      </c>
      <c r="F563">
        <v>3.19</v>
      </c>
      <c r="G563">
        <v>6</v>
      </c>
      <c r="H563">
        <v>62.9</v>
      </c>
      <c r="I563">
        <v>0.61</v>
      </c>
      <c r="J563" t="s">
        <v>18</v>
      </c>
      <c r="K563">
        <v>36</v>
      </c>
      <c r="L563">
        <v>71</v>
      </c>
      <c r="M563">
        <v>0.98</v>
      </c>
      <c r="N563">
        <v>6</v>
      </c>
      <c r="O563">
        <v>0.95</v>
      </c>
      <c r="P563" t="s">
        <v>19</v>
      </c>
    </row>
    <row r="564" spans="1:16" x14ac:dyDescent="0.35">
      <c r="A564" t="s">
        <v>590</v>
      </c>
      <c r="B564">
        <v>563</v>
      </c>
      <c r="C564">
        <v>24</v>
      </c>
      <c r="D564" t="s">
        <v>21</v>
      </c>
      <c r="E564" t="s">
        <v>46</v>
      </c>
      <c r="F564">
        <v>2.74</v>
      </c>
      <c r="G564">
        <v>3</v>
      </c>
      <c r="H564">
        <v>68</v>
      </c>
      <c r="I564">
        <v>0.98</v>
      </c>
      <c r="J564" t="s">
        <v>23</v>
      </c>
      <c r="K564">
        <v>7</v>
      </c>
      <c r="L564">
        <v>57</v>
      </c>
      <c r="M564">
        <v>0.52</v>
      </c>
      <c r="N564">
        <v>10</v>
      </c>
      <c r="O564">
        <v>0.98</v>
      </c>
      <c r="P564" t="s">
        <v>24</v>
      </c>
    </row>
    <row r="565" spans="1:16" x14ac:dyDescent="0.35">
      <c r="A565" t="s">
        <v>591</v>
      </c>
      <c r="B565">
        <v>564</v>
      </c>
      <c r="C565">
        <v>24</v>
      </c>
      <c r="D565" t="s">
        <v>21</v>
      </c>
      <c r="E565" t="s">
        <v>22</v>
      </c>
      <c r="F565">
        <v>2.67</v>
      </c>
      <c r="G565">
        <v>3</v>
      </c>
      <c r="H565">
        <v>73.900000000000006</v>
      </c>
      <c r="I565">
        <v>0.7</v>
      </c>
      <c r="J565" t="s">
        <v>28</v>
      </c>
      <c r="K565">
        <v>32</v>
      </c>
      <c r="L565">
        <v>71</v>
      </c>
      <c r="M565">
        <v>0.98</v>
      </c>
      <c r="N565">
        <v>12</v>
      </c>
      <c r="O565">
        <v>0.94</v>
      </c>
      <c r="P565" t="s">
        <v>19</v>
      </c>
    </row>
    <row r="566" spans="1:16" x14ac:dyDescent="0.35">
      <c r="A566" t="s">
        <v>592</v>
      </c>
      <c r="B566">
        <v>565</v>
      </c>
      <c r="C566">
        <v>21</v>
      </c>
      <c r="D566" t="s">
        <v>21</v>
      </c>
      <c r="E566" t="s">
        <v>22</v>
      </c>
      <c r="F566">
        <v>3.77</v>
      </c>
      <c r="G566">
        <v>6</v>
      </c>
      <c r="H566">
        <v>84.8</v>
      </c>
      <c r="I566">
        <v>0.7</v>
      </c>
      <c r="J566" t="s">
        <v>28</v>
      </c>
      <c r="K566">
        <v>37</v>
      </c>
      <c r="L566">
        <v>78</v>
      </c>
      <c r="M566">
        <v>0.61</v>
      </c>
      <c r="N566">
        <v>14</v>
      </c>
      <c r="O566">
        <v>0.79</v>
      </c>
      <c r="P566" t="s">
        <v>19</v>
      </c>
    </row>
    <row r="567" spans="1:16" x14ac:dyDescent="0.35">
      <c r="A567" t="s">
        <v>593</v>
      </c>
      <c r="B567">
        <v>566</v>
      </c>
      <c r="C567">
        <v>19</v>
      </c>
      <c r="D567" t="s">
        <v>21</v>
      </c>
      <c r="E567" t="s">
        <v>46</v>
      </c>
      <c r="F567">
        <v>2.77</v>
      </c>
      <c r="G567">
        <v>3</v>
      </c>
      <c r="H567">
        <v>81.8</v>
      </c>
      <c r="I567">
        <v>0.63</v>
      </c>
      <c r="J567" t="s">
        <v>18</v>
      </c>
      <c r="K567">
        <v>15</v>
      </c>
      <c r="L567">
        <v>28</v>
      </c>
      <c r="M567">
        <v>0.52</v>
      </c>
      <c r="N567">
        <v>17</v>
      </c>
      <c r="O567">
        <v>0.72</v>
      </c>
      <c r="P567" t="s">
        <v>19</v>
      </c>
    </row>
    <row r="568" spans="1:16" x14ac:dyDescent="0.35">
      <c r="A568" t="s">
        <v>594</v>
      </c>
      <c r="B568">
        <v>567</v>
      </c>
      <c r="C568">
        <v>19</v>
      </c>
      <c r="D568" t="s">
        <v>21</v>
      </c>
      <c r="E568" t="s">
        <v>30</v>
      </c>
      <c r="F568">
        <v>2.99</v>
      </c>
      <c r="G568">
        <v>4</v>
      </c>
      <c r="H568">
        <v>65</v>
      </c>
      <c r="I568">
        <v>0.97</v>
      </c>
      <c r="J568" t="s">
        <v>18</v>
      </c>
      <c r="K568">
        <v>4</v>
      </c>
      <c r="L568">
        <v>43</v>
      </c>
      <c r="M568">
        <v>0.65</v>
      </c>
      <c r="N568">
        <v>6</v>
      </c>
      <c r="O568">
        <v>0.89</v>
      </c>
      <c r="P568" t="s">
        <v>24</v>
      </c>
    </row>
    <row r="569" spans="1:16" x14ac:dyDescent="0.35">
      <c r="A569" t="s">
        <v>595</v>
      </c>
      <c r="B569">
        <v>568</v>
      </c>
      <c r="C569">
        <v>25</v>
      </c>
      <c r="D569" t="s">
        <v>32</v>
      </c>
      <c r="E569" t="s">
        <v>17</v>
      </c>
      <c r="F569">
        <v>2.57</v>
      </c>
      <c r="G569">
        <v>5</v>
      </c>
      <c r="H569">
        <v>71.599999999999994</v>
      </c>
      <c r="I569">
        <v>0.83</v>
      </c>
      <c r="J569" t="s">
        <v>23</v>
      </c>
      <c r="K569">
        <v>15</v>
      </c>
      <c r="L569">
        <v>58</v>
      </c>
      <c r="M569">
        <v>0.89</v>
      </c>
      <c r="N569">
        <v>5</v>
      </c>
      <c r="O569">
        <v>0.87</v>
      </c>
      <c r="P569" t="s">
        <v>24</v>
      </c>
    </row>
    <row r="570" spans="1:16" x14ac:dyDescent="0.35">
      <c r="A570" t="s">
        <v>596</v>
      </c>
      <c r="B570">
        <v>569</v>
      </c>
      <c r="C570">
        <v>24</v>
      </c>
      <c r="D570" t="s">
        <v>21</v>
      </c>
      <c r="E570" t="s">
        <v>17</v>
      </c>
      <c r="F570">
        <v>3.57</v>
      </c>
      <c r="G570">
        <v>6</v>
      </c>
      <c r="H570">
        <v>69.599999999999994</v>
      </c>
      <c r="I570">
        <v>0.87</v>
      </c>
      <c r="J570" t="s">
        <v>18</v>
      </c>
      <c r="K570">
        <v>6</v>
      </c>
      <c r="L570">
        <v>89</v>
      </c>
      <c r="M570">
        <v>0.88</v>
      </c>
      <c r="N570">
        <v>10</v>
      </c>
      <c r="O570">
        <v>0.77</v>
      </c>
      <c r="P570" t="s">
        <v>41</v>
      </c>
    </row>
    <row r="571" spans="1:16" x14ac:dyDescent="0.35">
      <c r="A571" t="s">
        <v>597</v>
      </c>
      <c r="B571">
        <v>570</v>
      </c>
      <c r="C571">
        <v>24</v>
      </c>
      <c r="D571" t="s">
        <v>32</v>
      </c>
      <c r="E571" t="s">
        <v>22</v>
      </c>
      <c r="F571">
        <v>2.79</v>
      </c>
      <c r="G571">
        <v>4</v>
      </c>
      <c r="H571">
        <v>68.5</v>
      </c>
      <c r="I571">
        <v>0.96</v>
      </c>
      <c r="J571" t="s">
        <v>23</v>
      </c>
      <c r="K571">
        <v>0</v>
      </c>
      <c r="L571">
        <v>56</v>
      </c>
      <c r="M571">
        <v>0.6</v>
      </c>
      <c r="N571">
        <v>7</v>
      </c>
      <c r="O571">
        <v>0.54</v>
      </c>
      <c r="P571" t="s">
        <v>24</v>
      </c>
    </row>
    <row r="572" spans="1:16" x14ac:dyDescent="0.35">
      <c r="A572" t="s">
        <v>598</v>
      </c>
      <c r="B572">
        <v>571</v>
      </c>
      <c r="C572">
        <v>23</v>
      </c>
      <c r="D572" t="s">
        <v>21</v>
      </c>
      <c r="E572" t="s">
        <v>46</v>
      </c>
      <c r="F572">
        <v>3.03</v>
      </c>
      <c r="G572">
        <v>6</v>
      </c>
      <c r="H572">
        <v>76.400000000000006</v>
      </c>
      <c r="I572">
        <v>0.74</v>
      </c>
      <c r="J572" t="s">
        <v>28</v>
      </c>
      <c r="K572">
        <v>8</v>
      </c>
      <c r="L572">
        <v>59</v>
      </c>
      <c r="M572">
        <v>0.6</v>
      </c>
      <c r="N572">
        <v>19</v>
      </c>
      <c r="O572">
        <v>0.96</v>
      </c>
      <c r="P572" t="s">
        <v>19</v>
      </c>
    </row>
    <row r="573" spans="1:16" x14ac:dyDescent="0.35">
      <c r="A573" t="s">
        <v>599</v>
      </c>
      <c r="B573">
        <v>572</v>
      </c>
      <c r="C573">
        <v>20</v>
      </c>
      <c r="D573" t="s">
        <v>16</v>
      </c>
      <c r="E573" t="s">
        <v>22</v>
      </c>
      <c r="F573">
        <v>2.5099999999999998</v>
      </c>
      <c r="G573">
        <v>6</v>
      </c>
      <c r="H573">
        <v>88.2</v>
      </c>
      <c r="I573">
        <v>0.85</v>
      </c>
      <c r="J573" t="s">
        <v>23</v>
      </c>
      <c r="K573">
        <v>17</v>
      </c>
      <c r="L573">
        <v>35</v>
      </c>
      <c r="M573">
        <v>0.82</v>
      </c>
      <c r="N573">
        <v>0</v>
      </c>
      <c r="O573">
        <v>0.73</v>
      </c>
      <c r="P573" t="s">
        <v>24</v>
      </c>
    </row>
    <row r="574" spans="1:16" x14ac:dyDescent="0.35">
      <c r="A574" t="s">
        <v>600</v>
      </c>
      <c r="B574">
        <v>573</v>
      </c>
      <c r="C574">
        <v>18</v>
      </c>
      <c r="D574" t="s">
        <v>32</v>
      </c>
      <c r="E574" t="s">
        <v>46</v>
      </c>
      <c r="F574">
        <v>3.98</v>
      </c>
      <c r="G574">
        <v>3</v>
      </c>
      <c r="H574">
        <v>68.7</v>
      </c>
      <c r="I574">
        <v>0.62</v>
      </c>
      <c r="J574" t="s">
        <v>18</v>
      </c>
      <c r="K574">
        <v>2</v>
      </c>
      <c r="L574">
        <v>65</v>
      </c>
      <c r="M574">
        <v>0.73</v>
      </c>
      <c r="N574">
        <v>7</v>
      </c>
      <c r="O574">
        <v>0.68</v>
      </c>
      <c r="P574" t="s">
        <v>19</v>
      </c>
    </row>
    <row r="575" spans="1:16" x14ac:dyDescent="0.35">
      <c r="A575" t="s">
        <v>601</v>
      </c>
      <c r="B575">
        <v>574</v>
      </c>
      <c r="C575">
        <v>19</v>
      </c>
      <c r="D575" t="s">
        <v>16</v>
      </c>
      <c r="E575" t="s">
        <v>17</v>
      </c>
      <c r="F575">
        <v>2.58</v>
      </c>
      <c r="G575">
        <v>3</v>
      </c>
      <c r="H575">
        <v>74.7</v>
      </c>
      <c r="I575">
        <v>0.67</v>
      </c>
      <c r="J575" t="s">
        <v>28</v>
      </c>
      <c r="K575">
        <v>23</v>
      </c>
      <c r="L575">
        <v>87</v>
      </c>
      <c r="M575">
        <v>0.9</v>
      </c>
      <c r="N575">
        <v>7</v>
      </c>
      <c r="O575">
        <v>0.81</v>
      </c>
      <c r="P575" t="s">
        <v>19</v>
      </c>
    </row>
    <row r="576" spans="1:16" x14ac:dyDescent="0.35">
      <c r="A576" t="s">
        <v>602</v>
      </c>
      <c r="B576">
        <v>575</v>
      </c>
      <c r="C576">
        <v>24</v>
      </c>
      <c r="D576" t="s">
        <v>32</v>
      </c>
      <c r="E576" t="s">
        <v>30</v>
      </c>
      <c r="F576">
        <v>3.54</v>
      </c>
      <c r="G576">
        <v>4</v>
      </c>
      <c r="H576">
        <v>75.599999999999994</v>
      </c>
      <c r="I576">
        <v>0.93</v>
      </c>
      <c r="J576" t="s">
        <v>23</v>
      </c>
      <c r="K576">
        <v>27</v>
      </c>
      <c r="L576">
        <v>23</v>
      </c>
      <c r="M576">
        <v>0.51</v>
      </c>
      <c r="N576">
        <v>18</v>
      </c>
      <c r="O576">
        <v>0.84</v>
      </c>
      <c r="P576" t="s">
        <v>41</v>
      </c>
    </row>
    <row r="577" spans="1:16" x14ac:dyDescent="0.35">
      <c r="A577" t="s">
        <v>603</v>
      </c>
      <c r="B577">
        <v>576</v>
      </c>
      <c r="C577">
        <v>23</v>
      </c>
      <c r="D577" t="s">
        <v>16</v>
      </c>
      <c r="E577" t="s">
        <v>46</v>
      </c>
      <c r="F577">
        <v>2.85</v>
      </c>
      <c r="G577">
        <v>6</v>
      </c>
      <c r="H577">
        <v>99.1</v>
      </c>
      <c r="I577">
        <v>0.91</v>
      </c>
      <c r="J577" t="s">
        <v>28</v>
      </c>
      <c r="K577">
        <v>9</v>
      </c>
      <c r="L577">
        <v>87</v>
      </c>
      <c r="M577">
        <v>0.81</v>
      </c>
      <c r="N577">
        <v>2</v>
      </c>
      <c r="O577">
        <v>0.61</v>
      </c>
      <c r="P577" t="s">
        <v>24</v>
      </c>
    </row>
    <row r="578" spans="1:16" x14ac:dyDescent="0.35">
      <c r="A578" t="s">
        <v>604</v>
      </c>
      <c r="B578">
        <v>577</v>
      </c>
      <c r="C578">
        <v>22</v>
      </c>
      <c r="D578" t="s">
        <v>21</v>
      </c>
      <c r="E578" t="s">
        <v>17</v>
      </c>
      <c r="F578">
        <v>2.41</v>
      </c>
      <c r="G578">
        <v>3</v>
      </c>
      <c r="H578">
        <v>98.2</v>
      </c>
      <c r="I578">
        <v>0.74</v>
      </c>
      <c r="J578" t="s">
        <v>23</v>
      </c>
      <c r="K578">
        <v>8</v>
      </c>
      <c r="L578">
        <v>34</v>
      </c>
      <c r="M578">
        <v>0.87</v>
      </c>
      <c r="N578">
        <v>4</v>
      </c>
      <c r="O578">
        <v>0.92</v>
      </c>
      <c r="P578" t="s">
        <v>19</v>
      </c>
    </row>
    <row r="579" spans="1:16" x14ac:dyDescent="0.35">
      <c r="A579" t="s">
        <v>605</v>
      </c>
      <c r="B579">
        <v>578</v>
      </c>
      <c r="C579">
        <v>23</v>
      </c>
      <c r="D579" t="s">
        <v>21</v>
      </c>
      <c r="E579" t="s">
        <v>22</v>
      </c>
      <c r="F579">
        <v>3.6</v>
      </c>
      <c r="G579">
        <v>3</v>
      </c>
      <c r="H579">
        <v>92</v>
      </c>
      <c r="I579">
        <v>0.75</v>
      </c>
      <c r="J579" t="s">
        <v>18</v>
      </c>
      <c r="K579">
        <v>12</v>
      </c>
      <c r="L579">
        <v>13</v>
      </c>
      <c r="M579">
        <v>1</v>
      </c>
      <c r="N579">
        <v>2</v>
      </c>
      <c r="O579">
        <v>0.64</v>
      </c>
      <c r="P579" t="s">
        <v>24</v>
      </c>
    </row>
    <row r="580" spans="1:16" x14ac:dyDescent="0.35">
      <c r="A580" t="s">
        <v>606</v>
      </c>
      <c r="B580">
        <v>579</v>
      </c>
      <c r="C580">
        <v>19</v>
      </c>
      <c r="D580" t="s">
        <v>21</v>
      </c>
      <c r="E580" t="s">
        <v>46</v>
      </c>
      <c r="F580">
        <v>2.67</v>
      </c>
      <c r="G580">
        <v>6</v>
      </c>
      <c r="H580">
        <v>69.7</v>
      </c>
      <c r="I580">
        <v>0.81</v>
      </c>
      <c r="J580" t="s">
        <v>18</v>
      </c>
      <c r="K580">
        <v>34</v>
      </c>
      <c r="L580">
        <v>88</v>
      </c>
      <c r="M580">
        <v>0.84</v>
      </c>
      <c r="N580">
        <v>14</v>
      </c>
      <c r="O580">
        <v>0.59</v>
      </c>
      <c r="P580" t="s">
        <v>24</v>
      </c>
    </row>
    <row r="581" spans="1:16" x14ac:dyDescent="0.35">
      <c r="A581" t="s">
        <v>607</v>
      </c>
      <c r="B581">
        <v>580</v>
      </c>
      <c r="C581">
        <v>19</v>
      </c>
      <c r="D581" t="s">
        <v>32</v>
      </c>
      <c r="E581" t="s">
        <v>30</v>
      </c>
      <c r="F581">
        <v>3.73</v>
      </c>
      <c r="G581">
        <v>4</v>
      </c>
      <c r="H581">
        <v>62.7</v>
      </c>
      <c r="I581">
        <v>0.6</v>
      </c>
      <c r="J581" t="s">
        <v>28</v>
      </c>
      <c r="K581">
        <v>22</v>
      </c>
      <c r="L581">
        <v>41</v>
      </c>
      <c r="M581">
        <v>0.62</v>
      </c>
      <c r="N581">
        <v>13</v>
      </c>
      <c r="O581">
        <v>0.7</v>
      </c>
      <c r="P581" t="s">
        <v>19</v>
      </c>
    </row>
    <row r="582" spans="1:16" x14ac:dyDescent="0.35">
      <c r="A582" t="s">
        <v>608</v>
      </c>
      <c r="B582">
        <v>581</v>
      </c>
      <c r="C582">
        <v>23</v>
      </c>
      <c r="D582" t="s">
        <v>16</v>
      </c>
      <c r="E582" t="s">
        <v>22</v>
      </c>
      <c r="F582">
        <v>3.83</v>
      </c>
      <c r="G582">
        <v>4</v>
      </c>
      <c r="H582">
        <v>72.7</v>
      </c>
      <c r="I582">
        <v>0.7</v>
      </c>
      <c r="J582" t="s">
        <v>28</v>
      </c>
      <c r="K582">
        <v>16</v>
      </c>
      <c r="L582">
        <v>87</v>
      </c>
      <c r="M582">
        <v>0.55000000000000004</v>
      </c>
      <c r="N582">
        <v>14</v>
      </c>
      <c r="O582">
        <v>0.87</v>
      </c>
      <c r="P582" t="s">
        <v>19</v>
      </c>
    </row>
    <row r="583" spans="1:16" x14ac:dyDescent="0.35">
      <c r="A583" t="s">
        <v>609</v>
      </c>
      <c r="B583">
        <v>582</v>
      </c>
      <c r="C583">
        <v>18</v>
      </c>
      <c r="D583" t="s">
        <v>21</v>
      </c>
      <c r="E583" t="s">
        <v>22</v>
      </c>
      <c r="F583">
        <v>3.72</v>
      </c>
      <c r="G583">
        <v>6</v>
      </c>
      <c r="H583">
        <v>70.7</v>
      </c>
      <c r="I583">
        <v>0.68</v>
      </c>
      <c r="J583" t="s">
        <v>28</v>
      </c>
      <c r="K583">
        <v>6</v>
      </c>
      <c r="L583">
        <v>74</v>
      </c>
      <c r="M583">
        <v>0.82</v>
      </c>
      <c r="N583">
        <v>16</v>
      </c>
      <c r="O583">
        <v>0.98</v>
      </c>
      <c r="P583" t="s">
        <v>19</v>
      </c>
    </row>
    <row r="584" spans="1:16" x14ac:dyDescent="0.35">
      <c r="A584" t="s">
        <v>610</v>
      </c>
      <c r="B584">
        <v>583</v>
      </c>
      <c r="C584">
        <v>21</v>
      </c>
      <c r="D584" t="s">
        <v>16</v>
      </c>
      <c r="E584" t="s">
        <v>17</v>
      </c>
      <c r="F584">
        <v>2.0699999999999998</v>
      </c>
      <c r="G584">
        <v>4</v>
      </c>
      <c r="H584">
        <v>80.2</v>
      </c>
      <c r="I584">
        <v>0.7</v>
      </c>
      <c r="J584" t="s">
        <v>23</v>
      </c>
      <c r="K584">
        <v>15</v>
      </c>
      <c r="L584">
        <v>70</v>
      </c>
      <c r="M584">
        <v>0.76</v>
      </c>
      <c r="N584">
        <v>17</v>
      </c>
      <c r="O584">
        <v>0.9</v>
      </c>
      <c r="P584" t="s">
        <v>19</v>
      </c>
    </row>
    <row r="585" spans="1:16" x14ac:dyDescent="0.35">
      <c r="A585" t="s">
        <v>611</v>
      </c>
      <c r="B585">
        <v>584</v>
      </c>
      <c r="C585">
        <v>19</v>
      </c>
      <c r="D585" t="s">
        <v>16</v>
      </c>
      <c r="E585" t="s">
        <v>46</v>
      </c>
      <c r="F585">
        <v>3.57</v>
      </c>
      <c r="G585">
        <v>3</v>
      </c>
      <c r="H585">
        <v>91.1</v>
      </c>
      <c r="I585">
        <v>0.92</v>
      </c>
      <c r="J585" t="s">
        <v>18</v>
      </c>
      <c r="K585">
        <v>39</v>
      </c>
      <c r="L585">
        <v>29</v>
      </c>
      <c r="M585">
        <v>0.95</v>
      </c>
      <c r="N585">
        <v>1</v>
      </c>
      <c r="O585">
        <v>0.97</v>
      </c>
      <c r="P585" t="s">
        <v>41</v>
      </c>
    </row>
    <row r="586" spans="1:16" x14ac:dyDescent="0.35">
      <c r="A586" t="s">
        <v>612</v>
      </c>
      <c r="B586">
        <v>585</v>
      </c>
      <c r="C586">
        <v>23</v>
      </c>
      <c r="D586" t="s">
        <v>21</v>
      </c>
      <c r="E586" t="s">
        <v>22</v>
      </c>
      <c r="F586">
        <v>2.82</v>
      </c>
      <c r="G586">
        <v>6</v>
      </c>
      <c r="H586">
        <v>94.3</v>
      </c>
      <c r="I586">
        <v>0.71</v>
      </c>
      <c r="J586" t="s">
        <v>28</v>
      </c>
      <c r="K586">
        <v>35</v>
      </c>
      <c r="L586">
        <v>83</v>
      </c>
      <c r="M586">
        <v>0.86</v>
      </c>
      <c r="N586">
        <v>11</v>
      </c>
      <c r="O586">
        <v>0.56999999999999995</v>
      </c>
      <c r="P586" t="s">
        <v>19</v>
      </c>
    </row>
    <row r="587" spans="1:16" x14ac:dyDescent="0.35">
      <c r="A587" t="s">
        <v>613</v>
      </c>
      <c r="B587">
        <v>586</v>
      </c>
      <c r="C587">
        <v>24</v>
      </c>
      <c r="D587" t="s">
        <v>21</v>
      </c>
      <c r="E587" t="s">
        <v>30</v>
      </c>
      <c r="F587">
        <v>3.75</v>
      </c>
      <c r="G587">
        <v>3</v>
      </c>
      <c r="H587">
        <v>93.8</v>
      </c>
      <c r="I587">
        <v>0.68</v>
      </c>
      <c r="J587" t="s">
        <v>28</v>
      </c>
      <c r="K587">
        <v>19</v>
      </c>
      <c r="L587">
        <v>19</v>
      </c>
      <c r="M587">
        <v>0.75</v>
      </c>
      <c r="N587">
        <v>15</v>
      </c>
      <c r="O587">
        <v>0.54</v>
      </c>
      <c r="P587" t="s">
        <v>19</v>
      </c>
    </row>
    <row r="588" spans="1:16" x14ac:dyDescent="0.35">
      <c r="A588" t="s">
        <v>614</v>
      </c>
      <c r="B588">
        <v>587</v>
      </c>
      <c r="C588">
        <v>23</v>
      </c>
      <c r="D588" t="s">
        <v>16</v>
      </c>
      <c r="E588" t="s">
        <v>46</v>
      </c>
      <c r="F588">
        <v>3.28</v>
      </c>
      <c r="G588">
        <v>5</v>
      </c>
      <c r="H588">
        <v>74.400000000000006</v>
      </c>
      <c r="I588">
        <v>0.8</v>
      </c>
      <c r="J588" t="s">
        <v>28</v>
      </c>
      <c r="K588">
        <v>23</v>
      </c>
      <c r="L588">
        <v>43</v>
      </c>
      <c r="M588">
        <v>0.7</v>
      </c>
      <c r="N588">
        <v>3</v>
      </c>
      <c r="O588">
        <v>0.78</v>
      </c>
      <c r="P588" t="s">
        <v>24</v>
      </c>
    </row>
    <row r="589" spans="1:16" x14ac:dyDescent="0.35">
      <c r="A589" t="s">
        <v>615</v>
      </c>
      <c r="B589">
        <v>588</v>
      </c>
      <c r="C589">
        <v>20</v>
      </c>
      <c r="D589" t="s">
        <v>21</v>
      </c>
      <c r="E589" t="s">
        <v>30</v>
      </c>
      <c r="F589">
        <v>3.67</v>
      </c>
      <c r="G589">
        <v>5</v>
      </c>
      <c r="H589">
        <v>87.5</v>
      </c>
      <c r="I589">
        <v>0.95</v>
      </c>
      <c r="J589" t="s">
        <v>23</v>
      </c>
      <c r="K589">
        <v>4</v>
      </c>
      <c r="L589">
        <v>70</v>
      </c>
      <c r="M589">
        <v>0.7</v>
      </c>
      <c r="N589">
        <v>1</v>
      </c>
      <c r="O589">
        <v>0.65</v>
      </c>
      <c r="P589" t="s">
        <v>41</v>
      </c>
    </row>
    <row r="590" spans="1:16" x14ac:dyDescent="0.35">
      <c r="A590" t="s">
        <v>616</v>
      </c>
      <c r="B590">
        <v>589</v>
      </c>
      <c r="C590">
        <v>21</v>
      </c>
      <c r="D590" t="s">
        <v>21</v>
      </c>
      <c r="E590" t="s">
        <v>22</v>
      </c>
      <c r="F590">
        <v>3</v>
      </c>
      <c r="G590">
        <v>4</v>
      </c>
      <c r="H590">
        <v>72.5</v>
      </c>
      <c r="I590">
        <v>0.7</v>
      </c>
      <c r="J590" t="s">
        <v>28</v>
      </c>
      <c r="K590">
        <v>5</v>
      </c>
      <c r="L590">
        <v>36</v>
      </c>
      <c r="M590">
        <v>0.61</v>
      </c>
      <c r="N590">
        <v>13</v>
      </c>
      <c r="O590">
        <v>0.91</v>
      </c>
      <c r="P590" t="s">
        <v>19</v>
      </c>
    </row>
    <row r="591" spans="1:16" x14ac:dyDescent="0.35">
      <c r="A591" t="s">
        <v>617</v>
      </c>
      <c r="B591">
        <v>590</v>
      </c>
      <c r="C591">
        <v>22</v>
      </c>
      <c r="D591" t="s">
        <v>21</v>
      </c>
      <c r="E591" t="s">
        <v>30</v>
      </c>
      <c r="F591">
        <v>3.07</v>
      </c>
      <c r="G591">
        <v>5</v>
      </c>
      <c r="H591">
        <v>62.4</v>
      </c>
      <c r="I591">
        <v>0.63</v>
      </c>
      <c r="J591" t="s">
        <v>28</v>
      </c>
      <c r="K591">
        <v>27</v>
      </c>
      <c r="L591">
        <v>49</v>
      </c>
      <c r="M591">
        <v>0.51</v>
      </c>
      <c r="N591">
        <v>10</v>
      </c>
      <c r="O591">
        <v>0.84</v>
      </c>
      <c r="P591" t="s">
        <v>19</v>
      </c>
    </row>
    <row r="592" spans="1:16" x14ac:dyDescent="0.35">
      <c r="A592" t="s">
        <v>618</v>
      </c>
      <c r="B592">
        <v>591</v>
      </c>
      <c r="C592">
        <v>18</v>
      </c>
      <c r="D592" t="s">
        <v>32</v>
      </c>
      <c r="E592" t="s">
        <v>17</v>
      </c>
      <c r="F592">
        <v>2.29</v>
      </c>
      <c r="G592">
        <v>3</v>
      </c>
      <c r="H592">
        <v>88.1</v>
      </c>
      <c r="I592">
        <v>0.74</v>
      </c>
      <c r="J592" t="s">
        <v>23</v>
      </c>
      <c r="K592">
        <v>4</v>
      </c>
      <c r="L592">
        <v>74</v>
      </c>
      <c r="M592">
        <v>0.79</v>
      </c>
      <c r="N592">
        <v>12</v>
      </c>
      <c r="O592">
        <v>0.99</v>
      </c>
      <c r="P592" t="s">
        <v>19</v>
      </c>
    </row>
    <row r="593" spans="1:16" x14ac:dyDescent="0.35">
      <c r="A593" t="s">
        <v>619</v>
      </c>
      <c r="B593">
        <v>592</v>
      </c>
      <c r="C593">
        <v>25</v>
      </c>
      <c r="D593" t="s">
        <v>16</v>
      </c>
      <c r="E593" t="s">
        <v>30</v>
      </c>
      <c r="F593">
        <v>3.57</v>
      </c>
      <c r="G593">
        <v>5</v>
      </c>
      <c r="H593">
        <v>60.4</v>
      </c>
      <c r="I593">
        <v>0.9</v>
      </c>
      <c r="J593" t="s">
        <v>23</v>
      </c>
      <c r="K593">
        <v>38</v>
      </c>
      <c r="L593">
        <v>42</v>
      </c>
      <c r="M593">
        <v>0.61</v>
      </c>
      <c r="N593">
        <v>6</v>
      </c>
      <c r="O593">
        <v>0.63</v>
      </c>
      <c r="P593" t="s">
        <v>41</v>
      </c>
    </row>
    <row r="594" spans="1:16" x14ac:dyDescent="0.35">
      <c r="A594" t="s">
        <v>620</v>
      </c>
      <c r="B594">
        <v>593</v>
      </c>
      <c r="C594">
        <v>22</v>
      </c>
      <c r="D594" t="s">
        <v>16</v>
      </c>
      <c r="E594" t="s">
        <v>46</v>
      </c>
      <c r="F594">
        <v>2.84</v>
      </c>
      <c r="G594">
        <v>3</v>
      </c>
      <c r="H594">
        <v>76.400000000000006</v>
      </c>
      <c r="I594">
        <v>0.82</v>
      </c>
      <c r="J594" t="s">
        <v>28</v>
      </c>
      <c r="K594">
        <v>37</v>
      </c>
      <c r="L594">
        <v>77</v>
      </c>
      <c r="M594">
        <v>0.6</v>
      </c>
      <c r="N594">
        <v>9</v>
      </c>
      <c r="O594">
        <v>0.74</v>
      </c>
      <c r="P594" t="s">
        <v>24</v>
      </c>
    </row>
    <row r="595" spans="1:16" x14ac:dyDescent="0.35">
      <c r="A595" t="s">
        <v>621</v>
      </c>
      <c r="B595">
        <v>594</v>
      </c>
      <c r="C595">
        <v>21</v>
      </c>
      <c r="D595" t="s">
        <v>32</v>
      </c>
      <c r="E595" t="s">
        <v>30</v>
      </c>
      <c r="F595">
        <v>3</v>
      </c>
      <c r="G595">
        <v>4</v>
      </c>
      <c r="H595">
        <v>73.2</v>
      </c>
      <c r="I595">
        <v>0.93</v>
      </c>
      <c r="J595" t="s">
        <v>28</v>
      </c>
      <c r="K595">
        <v>1</v>
      </c>
      <c r="L595">
        <v>80</v>
      </c>
      <c r="M595">
        <v>0.56000000000000005</v>
      </c>
      <c r="N595">
        <v>0</v>
      </c>
      <c r="O595">
        <v>0.75</v>
      </c>
      <c r="P595" t="s">
        <v>41</v>
      </c>
    </row>
    <row r="596" spans="1:16" x14ac:dyDescent="0.35">
      <c r="A596" t="s">
        <v>622</v>
      </c>
      <c r="B596">
        <v>595</v>
      </c>
      <c r="C596">
        <v>21</v>
      </c>
      <c r="D596" t="s">
        <v>16</v>
      </c>
      <c r="E596" t="s">
        <v>30</v>
      </c>
      <c r="F596">
        <v>3.57</v>
      </c>
      <c r="G596">
        <v>4</v>
      </c>
      <c r="H596">
        <v>87.7</v>
      </c>
      <c r="I596">
        <v>0.98</v>
      </c>
      <c r="J596" t="s">
        <v>23</v>
      </c>
      <c r="K596">
        <v>38</v>
      </c>
      <c r="L596">
        <v>18</v>
      </c>
      <c r="M596">
        <v>0.59</v>
      </c>
      <c r="N596">
        <v>3</v>
      </c>
      <c r="O596">
        <v>0.62</v>
      </c>
      <c r="P596" t="s">
        <v>41</v>
      </c>
    </row>
    <row r="597" spans="1:16" x14ac:dyDescent="0.35">
      <c r="A597" t="s">
        <v>623</v>
      </c>
      <c r="B597">
        <v>596</v>
      </c>
      <c r="C597">
        <v>21</v>
      </c>
      <c r="D597" t="s">
        <v>21</v>
      </c>
      <c r="E597" t="s">
        <v>17</v>
      </c>
      <c r="F597">
        <v>3.2</v>
      </c>
      <c r="G597">
        <v>3</v>
      </c>
      <c r="H597">
        <v>90.6</v>
      </c>
      <c r="I597">
        <v>0.92</v>
      </c>
      <c r="J597" t="s">
        <v>18</v>
      </c>
      <c r="K597">
        <v>20</v>
      </c>
      <c r="L597">
        <v>25</v>
      </c>
      <c r="M597">
        <v>0.52</v>
      </c>
      <c r="N597">
        <v>17</v>
      </c>
      <c r="O597">
        <v>0.8</v>
      </c>
      <c r="P597" t="s">
        <v>41</v>
      </c>
    </row>
    <row r="598" spans="1:16" x14ac:dyDescent="0.35">
      <c r="A598" t="s">
        <v>624</v>
      </c>
      <c r="B598">
        <v>597</v>
      </c>
      <c r="C598">
        <v>22</v>
      </c>
      <c r="D598" t="s">
        <v>16</v>
      </c>
      <c r="E598" t="s">
        <v>30</v>
      </c>
      <c r="F598">
        <v>2.4</v>
      </c>
      <c r="G598">
        <v>5</v>
      </c>
      <c r="H598">
        <v>72.2</v>
      </c>
      <c r="I598">
        <v>0.84</v>
      </c>
      <c r="J598" t="s">
        <v>23</v>
      </c>
      <c r="K598">
        <v>39</v>
      </c>
      <c r="L598">
        <v>14</v>
      </c>
      <c r="M598">
        <v>0.84</v>
      </c>
      <c r="N598">
        <v>5</v>
      </c>
      <c r="O598">
        <v>0.72</v>
      </c>
      <c r="P598" t="s">
        <v>19</v>
      </c>
    </row>
    <row r="599" spans="1:16" x14ac:dyDescent="0.35">
      <c r="A599" t="s">
        <v>625</v>
      </c>
      <c r="B599">
        <v>598</v>
      </c>
      <c r="C599">
        <v>24</v>
      </c>
      <c r="D599" t="s">
        <v>21</v>
      </c>
      <c r="E599" t="s">
        <v>30</v>
      </c>
      <c r="F599">
        <v>3.18</v>
      </c>
      <c r="G599">
        <v>4</v>
      </c>
      <c r="H599">
        <v>92.5</v>
      </c>
      <c r="I599">
        <v>0.8</v>
      </c>
      <c r="J599" t="s">
        <v>18</v>
      </c>
      <c r="K599">
        <v>36</v>
      </c>
      <c r="L599">
        <v>32</v>
      </c>
      <c r="M599">
        <v>0.7</v>
      </c>
      <c r="N599">
        <v>1</v>
      </c>
      <c r="O599">
        <v>0.72</v>
      </c>
      <c r="P599" t="s">
        <v>24</v>
      </c>
    </row>
    <row r="600" spans="1:16" x14ac:dyDescent="0.35">
      <c r="A600" t="s">
        <v>626</v>
      </c>
      <c r="B600">
        <v>599</v>
      </c>
      <c r="C600">
        <v>21</v>
      </c>
      <c r="D600" t="s">
        <v>32</v>
      </c>
      <c r="E600" t="s">
        <v>22</v>
      </c>
      <c r="F600">
        <v>2.82</v>
      </c>
      <c r="G600">
        <v>6</v>
      </c>
      <c r="H600">
        <v>71.8</v>
      </c>
      <c r="I600">
        <v>0.62</v>
      </c>
      <c r="J600" t="s">
        <v>28</v>
      </c>
      <c r="K600">
        <v>17</v>
      </c>
      <c r="L600">
        <v>52</v>
      </c>
      <c r="M600">
        <v>0.78</v>
      </c>
      <c r="N600">
        <v>2</v>
      </c>
      <c r="O600">
        <v>0.68</v>
      </c>
      <c r="P600" t="s">
        <v>19</v>
      </c>
    </row>
    <row r="601" spans="1:16" x14ac:dyDescent="0.35">
      <c r="A601" t="s">
        <v>627</v>
      </c>
      <c r="B601">
        <v>600</v>
      </c>
      <c r="C601">
        <v>23</v>
      </c>
      <c r="D601" t="s">
        <v>21</v>
      </c>
      <c r="E601" t="s">
        <v>22</v>
      </c>
      <c r="F601">
        <v>2.94</v>
      </c>
      <c r="G601">
        <v>4</v>
      </c>
      <c r="H601">
        <v>77.900000000000006</v>
      </c>
      <c r="I601">
        <v>0.99</v>
      </c>
      <c r="J601" t="s">
        <v>28</v>
      </c>
      <c r="K601">
        <v>11</v>
      </c>
      <c r="L601">
        <v>66</v>
      </c>
      <c r="M601">
        <v>0.82</v>
      </c>
      <c r="N601">
        <v>13</v>
      </c>
      <c r="O601">
        <v>0.51</v>
      </c>
      <c r="P601" t="s">
        <v>24</v>
      </c>
    </row>
    <row r="602" spans="1:16" x14ac:dyDescent="0.35">
      <c r="A602" t="s">
        <v>628</v>
      </c>
      <c r="B602">
        <v>601</v>
      </c>
      <c r="C602">
        <v>22</v>
      </c>
      <c r="D602" t="s">
        <v>16</v>
      </c>
      <c r="E602" t="s">
        <v>46</v>
      </c>
      <c r="F602">
        <v>2.06</v>
      </c>
      <c r="G602">
        <v>5</v>
      </c>
      <c r="H602">
        <v>89.1</v>
      </c>
      <c r="I602">
        <v>0.75</v>
      </c>
      <c r="J602" t="s">
        <v>18</v>
      </c>
      <c r="K602">
        <v>16</v>
      </c>
      <c r="L602">
        <v>60</v>
      </c>
      <c r="M602">
        <v>0.99</v>
      </c>
      <c r="N602">
        <v>7</v>
      </c>
      <c r="O602">
        <v>0.76</v>
      </c>
      <c r="P602" t="s">
        <v>19</v>
      </c>
    </row>
    <row r="603" spans="1:16" x14ac:dyDescent="0.35">
      <c r="A603" t="s">
        <v>629</v>
      </c>
      <c r="B603">
        <v>602</v>
      </c>
      <c r="C603">
        <v>25</v>
      </c>
      <c r="D603" t="s">
        <v>16</v>
      </c>
      <c r="E603" t="s">
        <v>22</v>
      </c>
      <c r="F603">
        <v>2.42</v>
      </c>
      <c r="G603">
        <v>6</v>
      </c>
      <c r="H603">
        <v>87.7</v>
      </c>
      <c r="I603">
        <v>0.66</v>
      </c>
      <c r="J603" t="s">
        <v>23</v>
      </c>
      <c r="K603">
        <v>36</v>
      </c>
      <c r="L603">
        <v>22</v>
      </c>
      <c r="M603">
        <v>0.53</v>
      </c>
      <c r="N603">
        <v>15</v>
      </c>
      <c r="O603">
        <v>0.67</v>
      </c>
      <c r="P603" t="s">
        <v>19</v>
      </c>
    </row>
    <row r="604" spans="1:16" x14ac:dyDescent="0.35">
      <c r="A604" t="s">
        <v>630</v>
      </c>
      <c r="B604">
        <v>603</v>
      </c>
      <c r="C604">
        <v>21</v>
      </c>
      <c r="D604" t="s">
        <v>16</v>
      </c>
      <c r="E604" t="s">
        <v>22</v>
      </c>
      <c r="F604">
        <v>2.56</v>
      </c>
      <c r="G604">
        <v>5</v>
      </c>
      <c r="H604">
        <v>99.5</v>
      </c>
      <c r="I604">
        <v>0.87</v>
      </c>
      <c r="J604" t="s">
        <v>28</v>
      </c>
      <c r="K604">
        <v>37</v>
      </c>
      <c r="L604">
        <v>33</v>
      </c>
      <c r="M604">
        <v>0.71</v>
      </c>
      <c r="N604">
        <v>18</v>
      </c>
      <c r="O604">
        <v>0.5</v>
      </c>
      <c r="P604" t="s">
        <v>24</v>
      </c>
    </row>
    <row r="605" spans="1:16" x14ac:dyDescent="0.35">
      <c r="A605" t="s">
        <v>631</v>
      </c>
      <c r="B605">
        <v>604</v>
      </c>
      <c r="C605">
        <v>23</v>
      </c>
      <c r="D605" t="s">
        <v>32</v>
      </c>
      <c r="E605" t="s">
        <v>22</v>
      </c>
      <c r="F605">
        <v>3.43</v>
      </c>
      <c r="G605">
        <v>3</v>
      </c>
      <c r="H605">
        <v>69</v>
      </c>
      <c r="I605">
        <v>0.71</v>
      </c>
      <c r="J605" t="s">
        <v>18</v>
      </c>
      <c r="K605">
        <v>14</v>
      </c>
      <c r="L605">
        <v>20</v>
      </c>
      <c r="M605">
        <v>0.62</v>
      </c>
      <c r="N605">
        <v>17</v>
      </c>
      <c r="O605">
        <v>0.65</v>
      </c>
      <c r="P605" t="s">
        <v>19</v>
      </c>
    </row>
    <row r="606" spans="1:16" x14ac:dyDescent="0.35">
      <c r="A606" t="s">
        <v>632</v>
      </c>
      <c r="B606">
        <v>605</v>
      </c>
      <c r="C606">
        <v>24</v>
      </c>
      <c r="D606" t="s">
        <v>32</v>
      </c>
      <c r="E606" t="s">
        <v>22</v>
      </c>
      <c r="F606">
        <v>2.02</v>
      </c>
      <c r="G606">
        <v>6</v>
      </c>
      <c r="H606">
        <v>86.5</v>
      </c>
      <c r="I606">
        <v>0.83</v>
      </c>
      <c r="J606" t="s">
        <v>23</v>
      </c>
      <c r="K606">
        <v>6</v>
      </c>
      <c r="L606">
        <v>61</v>
      </c>
      <c r="M606">
        <v>0.74</v>
      </c>
      <c r="N606">
        <v>5</v>
      </c>
      <c r="O606">
        <v>0.64</v>
      </c>
      <c r="P606" t="s">
        <v>19</v>
      </c>
    </row>
    <row r="607" spans="1:16" x14ac:dyDescent="0.35">
      <c r="A607" t="s">
        <v>633</v>
      </c>
      <c r="B607">
        <v>606</v>
      </c>
      <c r="C607">
        <v>20</v>
      </c>
      <c r="D607" t="s">
        <v>16</v>
      </c>
      <c r="E607" t="s">
        <v>17</v>
      </c>
      <c r="F607">
        <v>2.82</v>
      </c>
      <c r="G607">
        <v>5</v>
      </c>
      <c r="H607">
        <v>84.4</v>
      </c>
      <c r="I607">
        <v>0.83</v>
      </c>
      <c r="J607" t="s">
        <v>18</v>
      </c>
      <c r="K607">
        <v>13</v>
      </c>
      <c r="L607">
        <v>26</v>
      </c>
      <c r="M607">
        <v>0.96</v>
      </c>
      <c r="N607">
        <v>13</v>
      </c>
      <c r="O607">
        <v>0.7</v>
      </c>
      <c r="P607" t="s">
        <v>24</v>
      </c>
    </row>
    <row r="608" spans="1:16" x14ac:dyDescent="0.35">
      <c r="A608" t="s">
        <v>634</v>
      </c>
      <c r="B608">
        <v>607</v>
      </c>
      <c r="C608">
        <v>24</v>
      </c>
      <c r="D608" t="s">
        <v>21</v>
      </c>
      <c r="E608" t="s">
        <v>22</v>
      </c>
      <c r="F608">
        <v>3.85</v>
      </c>
      <c r="G608">
        <v>6</v>
      </c>
      <c r="H608">
        <v>96.6</v>
      </c>
      <c r="I608">
        <v>0.78</v>
      </c>
      <c r="J608" t="s">
        <v>23</v>
      </c>
      <c r="K608">
        <v>0</v>
      </c>
      <c r="L608">
        <v>46</v>
      </c>
      <c r="M608">
        <v>0.86</v>
      </c>
      <c r="N608">
        <v>2</v>
      </c>
      <c r="O608">
        <v>0.56999999999999995</v>
      </c>
      <c r="P608" t="s">
        <v>24</v>
      </c>
    </row>
    <row r="609" spans="1:16" x14ac:dyDescent="0.35">
      <c r="A609" t="s">
        <v>635</v>
      </c>
      <c r="B609">
        <v>608</v>
      </c>
      <c r="C609">
        <v>25</v>
      </c>
      <c r="D609" t="s">
        <v>32</v>
      </c>
      <c r="E609" t="s">
        <v>17</v>
      </c>
      <c r="F609">
        <v>2.2200000000000002</v>
      </c>
      <c r="G609">
        <v>5</v>
      </c>
      <c r="H609">
        <v>66.3</v>
      </c>
      <c r="I609">
        <v>0.93</v>
      </c>
      <c r="J609" t="s">
        <v>23</v>
      </c>
      <c r="K609">
        <v>37</v>
      </c>
      <c r="L609">
        <v>22</v>
      </c>
      <c r="M609">
        <v>0.83</v>
      </c>
      <c r="N609">
        <v>15</v>
      </c>
      <c r="O609">
        <v>0.75</v>
      </c>
      <c r="P609" t="s">
        <v>19</v>
      </c>
    </row>
    <row r="610" spans="1:16" x14ac:dyDescent="0.35">
      <c r="A610" t="s">
        <v>636</v>
      </c>
      <c r="B610">
        <v>609</v>
      </c>
      <c r="C610">
        <v>21</v>
      </c>
      <c r="D610" t="s">
        <v>16</v>
      </c>
      <c r="E610" t="s">
        <v>17</v>
      </c>
      <c r="F610">
        <v>3.03</v>
      </c>
      <c r="G610">
        <v>6</v>
      </c>
      <c r="H610">
        <v>90.1</v>
      </c>
      <c r="I610">
        <v>0.71</v>
      </c>
      <c r="J610" t="s">
        <v>23</v>
      </c>
      <c r="K610">
        <v>2</v>
      </c>
      <c r="L610">
        <v>71</v>
      </c>
      <c r="M610">
        <v>0.72</v>
      </c>
      <c r="N610">
        <v>0</v>
      </c>
      <c r="O610">
        <v>0.85</v>
      </c>
      <c r="P610" t="s">
        <v>19</v>
      </c>
    </row>
    <row r="611" spans="1:16" x14ac:dyDescent="0.35">
      <c r="A611" t="s">
        <v>637</v>
      </c>
      <c r="B611">
        <v>610</v>
      </c>
      <c r="C611">
        <v>25</v>
      </c>
      <c r="D611" t="s">
        <v>16</v>
      </c>
      <c r="E611" t="s">
        <v>22</v>
      </c>
      <c r="F611">
        <v>3.57</v>
      </c>
      <c r="G611">
        <v>5</v>
      </c>
      <c r="H611">
        <v>82.7</v>
      </c>
      <c r="I611">
        <v>0.78</v>
      </c>
      <c r="J611" t="s">
        <v>23</v>
      </c>
      <c r="K611">
        <v>36</v>
      </c>
      <c r="L611">
        <v>17</v>
      </c>
      <c r="M611">
        <v>0.84</v>
      </c>
      <c r="N611">
        <v>11</v>
      </c>
      <c r="O611">
        <v>0.82</v>
      </c>
      <c r="P611" t="s">
        <v>24</v>
      </c>
    </row>
    <row r="612" spans="1:16" x14ac:dyDescent="0.35">
      <c r="A612" t="s">
        <v>638</v>
      </c>
      <c r="B612">
        <v>611</v>
      </c>
      <c r="C612">
        <v>22</v>
      </c>
      <c r="D612" t="s">
        <v>32</v>
      </c>
      <c r="E612" t="s">
        <v>30</v>
      </c>
      <c r="F612">
        <v>3.89</v>
      </c>
      <c r="G612">
        <v>3</v>
      </c>
      <c r="H612">
        <v>71</v>
      </c>
      <c r="I612">
        <v>0.82</v>
      </c>
      <c r="J612" t="s">
        <v>18</v>
      </c>
      <c r="K612">
        <v>30</v>
      </c>
      <c r="L612">
        <v>65</v>
      </c>
      <c r="M612">
        <v>0.52</v>
      </c>
      <c r="N612">
        <v>13</v>
      </c>
      <c r="O612">
        <v>0.9</v>
      </c>
      <c r="P612" t="s">
        <v>24</v>
      </c>
    </row>
    <row r="613" spans="1:16" x14ac:dyDescent="0.35">
      <c r="A613" t="s">
        <v>639</v>
      </c>
      <c r="B613">
        <v>612</v>
      </c>
      <c r="C613">
        <v>19</v>
      </c>
      <c r="D613" t="s">
        <v>32</v>
      </c>
      <c r="E613" t="s">
        <v>17</v>
      </c>
      <c r="F613">
        <v>3.49</v>
      </c>
      <c r="G613">
        <v>6</v>
      </c>
      <c r="H613">
        <v>79</v>
      </c>
      <c r="I613">
        <v>0.87</v>
      </c>
      <c r="J613" t="s">
        <v>18</v>
      </c>
      <c r="K613">
        <v>12</v>
      </c>
      <c r="L613">
        <v>79</v>
      </c>
      <c r="M613">
        <v>0.79</v>
      </c>
      <c r="N613">
        <v>18</v>
      </c>
      <c r="O613">
        <v>0.73</v>
      </c>
      <c r="P613" t="s">
        <v>41</v>
      </c>
    </row>
    <row r="614" spans="1:16" x14ac:dyDescent="0.35">
      <c r="A614" t="s">
        <v>640</v>
      </c>
      <c r="B614">
        <v>613</v>
      </c>
      <c r="C614">
        <v>21</v>
      </c>
      <c r="D614" t="s">
        <v>32</v>
      </c>
      <c r="E614" t="s">
        <v>30</v>
      </c>
      <c r="F614">
        <v>3.44</v>
      </c>
      <c r="G614">
        <v>6</v>
      </c>
      <c r="H614">
        <v>73.400000000000006</v>
      </c>
      <c r="I614">
        <v>0.91</v>
      </c>
      <c r="J614" t="s">
        <v>18</v>
      </c>
      <c r="K614">
        <v>17</v>
      </c>
      <c r="L614">
        <v>53</v>
      </c>
      <c r="M614">
        <v>0.78</v>
      </c>
      <c r="N614">
        <v>18</v>
      </c>
      <c r="O614">
        <v>0.76</v>
      </c>
      <c r="P614" t="s">
        <v>41</v>
      </c>
    </row>
    <row r="615" spans="1:16" x14ac:dyDescent="0.35">
      <c r="A615" t="s">
        <v>641</v>
      </c>
      <c r="B615">
        <v>614</v>
      </c>
      <c r="C615">
        <v>19</v>
      </c>
      <c r="D615" t="s">
        <v>21</v>
      </c>
      <c r="E615" t="s">
        <v>30</v>
      </c>
      <c r="F615">
        <v>3.65</v>
      </c>
      <c r="G615">
        <v>6</v>
      </c>
      <c r="H615">
        <v>83.2</v>
      </c>
      <c r="I615">
        <v>0.76</v>
      </c>
      <c r="J615" t="s">
        <v>18</v>
      </c>
      <c r="K615">
        <v>16</v>
      </c>
      <c r="L615">
        <v>69</v>
      </c>
      <c r="M615">
        <v>0.67</v>
      </c>
      <c r="N615">
        <v>8</v>
      </c>
      <c r="O615">
        <v>0.91</v>
      </c>
      <c r="P615" t="s">
        <v>24</v>
      </c>
    </row>
    <row r="616" spans="1:16" x14ac:dyDescent="0.35">
      <c r="A616" t="s">
        <v>642</v>
      </c>
      <c r="B616">
        <v>615</v>
      </c>
      <c r="C616">
        <v>23</v>
      </c>
      <c r="D616" t="s">
        <v>21</v>
      </c>
      <c r="E616" t="s">
        <v>22</v>
      </c>
      <c r="F616">
        <v>2.89</v>
      </c>
      <c r="G616">
        <v>6</v>
      </c>
      <c r="H616">
        <v>95.6</v>
      </c>
      <c r="I616">
        <v>0.86</v>
      </c>
      <c r="J616" t="s">
        <v>18</v>
      </c>
      <c r="K616">
        <v>16</v>
      </c>
      <c r="L616">
        <v>50</v>
      </c>
      <c r="M616">
        <v>0.6</v>
      </c>
      <c r="N616">
        <v>6</v>
      </c>
      <c r="O616">
        <v>0.71</v>
      </c>
      <c r="P616" t="s">
        <v>24</v>
      </c>
    </row>
    <row r="617" spans="1:16" x14ac:dyDescent="0.35">
      <c r="A617" t="s">
        <v>643</v>
      </c>
      <c r="B617">
        <v>616</v>
      </c>
      <c r="C617">
        <v>20</v>
      </c>
      <c r="D617" t="s">
        <v>16</v>
      </c>
      <c r="E617" t="s">
        <v>46</v>
      </c>
      <c r="F617">
        <v>3.61</v>
      </c>
      <c r="G617">
        <v>3</v>
      </c>
      <c r="H617">
        <v>82.8</v>
      </c>
      <c r="I617">
        <v>0.66</v>
      </c>
      <c r="J617" t="s">
        <v>23</v>
      </c>
      <c r="K617">
        <v>10</v>
      </c>
      <c r="L617">
        <v>30</v>
      </c>
      <c r="M617">
        <v>0.9</v>
      </c>
      <c r="N617">
        <v>13</v>
      </c>
      <c r="O617">
        <v>0.85</v>
      </c>
      <c r="P617" t="s">
        <v>19</v>
      </c>
    </row>
    <row r="618" spans="1:16" x14ac:dyDescent="0.35">
      <c r="A618" t="s">
        <v>644</v>
      </c>
      <c r="B618">
        <v>617</v>
      </c>
      <c r="C618">
        <v>18</v>
      </c>
      <c r="D618" t="s">
        <v>32</v>
      </c>
      <c r="E618" t="s">
        <v>22</v>
      </c>
      <c r="F618">
        <v>2.02</v>
      </c>
      <c r="G618">
        <v>6</v>
      </c>
      <c r="H618">
        <v>85.3</v>
      </c>
      <c r="I618">
        <v>0.97</v>
      </c>
      <c r="J618" t="s">
        <v>28</v>
      </c>
      <c r="K618">
        <v>19</v>
      </c>
      <c r="L618">
        <v>51</v>
      </c>
      <c r="M618">
        <v>0.53</v>
      </c>
      <c r="N618">
        <v>4</v>
      </c>
      <c r="O618">
        <v>0.72</v>
      </c>
      <c r="P618" t="s">
        <v>19</v>
      </c>
    </row>
    <row r="619" spans="1:16" x14ac:dyDescent="0.35">
      <c r="A619" t="s">
        <v>645</v>
      </c>
      <c r="B619">
        <v>618</v>
      </c>
      <c r="C619">
        <v>25</v>
      </c>
      <c r="D619" t="s">
        <v>21</v>
      </c>
      <c r="E619" t="s">
        <v>46</v>
      </c>
      <c r="F619">
        <v>3.85</v>
      </c>
      <c r="G619">
        <v>4</v>
      </c>
      <c r="H619">
        <v>80.7</v>
      </c>
      <c r="I619">
        <v>0.75</v>
      </c>
      <c r="J619" t="s">
        <v>28</v>
      </c>
      <c r="K619">
        <v>9</v>
      </c>
      <c r="L619">
        <v>83</v>
      </c>
      <c r="M619">
        <v>0.53</v>
      </c>
      <c r="N619">
        <v>17</v>
      </c>
      <c r="O619">
        <v>0.71</v>
      </c>
      <c r="P619" t="s">
        <v>24</v>
      </c>
    </row>
    <row r="620" spans="1:16" x14ac:dyDescent="0.35">
      <c r="A620" t="s">
        <v>646</v>
      </c>
      <c r="B620">
        <v>619</v>
      </c>
      <c r="C620">
        <v>24</v>
      </c>
      <c r="D620" t="s">
        <v>32</v>
      </c>
      <c r="E620" t="s">
        <v>46</v>
      </c>
      <c r="F620">
        <v>2.89</v>
      </c>
      <c r="G620">
        <v>3</v>
      </c>
      <c r="H620">
        <v>62</v>
      </c>
      <c r="I620">
        <v>0.89</v>
      </c>
      <c r="J620" t="s">
        <v>18</v>
      </c>
      <c r="K620">
        <v>28</v>
      </c>
      <c r="L620">
        <v>83</v>
      </c>
      <c r="M620">
        <v>0.72</v>
      </c>
      <c r="N620">
        <v>8</v>
      </c>
      <c r="O620">
        <v>0.88</v>
      </c>
      <c r="P620" t="s">
        <v>24</v>
      </c>
    </row>
    <row r="621" spans="1:16" x14ac:dyDescent="0.35">
      <c r="A621" t="s">
        <v>647</v>
      </c>
      <c r="B621">
        <v>620</v>
      </c>
      <c r="C621">
        <v>20</v>
      </c>
      <c r="D621" t="s">
        <v>16</v>
      </c>
      <c r="E621" t="s">
        <v>22</v>
      </c>
      <c r="F621">
        <v>3.11</v>
      </c>
      <c r="G621">
        <v>4</v>
      </c>
      <c r="H621">
        <v>69.3</v>
      </c>
      <c r="I621">
        <v>0.61</v>
      </c>
      <c r="J621" t="s">
        <v>18</v>
      </c>
      <c r="K621">
        <v>33</v>
      </c>
      <c r="L621">
        <v>38</v>
      </c>
      <c r="M621">
        <v>0.63</v>
      </c>
      <c r="N621">
        <v>6</v>
      </c>
      <c r="O621">
        <v>0.59</v>
      </c>
      <c r="P621" t="s">
        <v>19</v>
      </c>
    </row>
    <row r="622" spans="1:16" x14ac:dyDescent="0.35">
      <c r="A622" t="s">
        <v>648</v>
      </c>
      <c r="B622">
        <v>621</v>
      </c>
      <c r="C622">
        <v>21</v>
      </c>
      <c r="D622" t="s">
        <v>21</v>
      </c>
      <c r="E622" t="s">
        <v>22</v>
      </c>
      <c r="F622">
        <v>2.5099999999999998</v>
      </c>
      <c r="G622">
        <v>6</v>
      </c>
      <c r="H622">
        <v>79.7</v>
      </c>
      <c r="I622">
        <v>0.68</v>
      </c>
      <c r="J622" t="s">
        <v>28</v>
      </c>
      <c r="K622">
        <v>16</v>
      </c>
      <c r="L622">
        <v>89</v>
      </c>
      <c r="M622">
        <v>0.87</v>
      </c>
      <c r="N622">
        <v>8</v>
      </c>
      <c r="O622">
        <v>0.67</v>
      </c>
      <c r="P622" t="s">
        <v>19</v>
      </c>
    </row>
    <row r="623" spans="1:16" x14ac:dyDescent="0.35">
      <c r="A623" t="s">
        <v>649</v>
      </c>
      <c r="B623">
        <v>622</v>
      </c>
      <c r="C623">
        <v>19</v>
      </c>
      <c r="D623" t="s">
        <v>21</v>
      </c>
      <c r="E623" t="s">
        <v>46</v>
      </c>
      <c r="F623">
        <v>3.49</v>
      </c>
      <c r="G623">
        <v>5</v>
      </c>
      <c r="H623">
        <v>72.400000000000006</v>
      </c>
      <c r="I623">
        <v>0.79</v>
      </c>
      <c r="J623" t="s">
        <v>23</v>
      </c>
      <c r="K623">
        <v>12</v>
      </c>
      <c r="L623">
        <v>74</v>
      </c>
      <c r="M623">
        <v>0.82</v>
      </c>
      <c r="N623">
        <v>3</v>
      </c>
      <c r="O623">
        <v>0.61</v>
      </c>
      <c r="P623" t="s">
        <v>24</v>
      </c>
    </row>
    <row r="624" spans="1:16" x14ac:dyDescent="0.35">
      <c r="A624" t="s">
        <v>650</v>
      </c>
      <c r="B624">
        <v>623</v>
      </c>
      <c r="C624">
        <v>24</v>
      </c>
      <c r="D624" t="s">
        <v>21</v>
      </c>
      <c r="E624" t="s">
        <v>22</v>
      </c>
      <c r="F624">
        <v>2.15</v>
      </c>
      <c r="G624">
        <v>4</v>
      </c>
      <c r="H624">
        <v>67.3</v>
      </c>
      <c r="I624">
        <v>0.95</v>
      </c>
      <c r="J624" t="s">
        <v>18</v>
      </c>
      <c r="K624">
        <v>38</v>
      </c>
      <c r="L624">
        <v>26</v>
      </c>
      <c r="M624">
        <v>0.89</v>
      </c>
      <c r="N624">
        <v>16</v>
      </c>
      <c r="O624">
        <v>0.68</v>
      </c>
      <c r="P624" t="s">
        <v>19</v>
      </c>
    </row>
    <row r="625" spans="1:16" x14ac:dyDescent="0.35">
      <c r="A625" t="s">
        <v>651</v>
      </c>
      <c r="B625">
        <v>624</v>
      </c>
      <c r="C625">
        <v>19</v>
      </c>
      <c r="D625" t="s">
        <v>16</v>
      </c>
      <c r="E625" t="s">
        <v>46</v>
      </c>
      <c r="F625">
        <v>3.75</v>
      </c>
      <c r="G625">
        <v>6</v>
      </c>
      <c r="H625">
        <v>80.2</v>
      </c>
      <c r="I625">
        <v>0.81</v>
      </c>
      <c r="J625" t="s">
        <v>23</v>
      </c>
      <c r="K625">
        <v>26</v>
      </c>
      <c r="L625">
        <v>39</v>
      </c>
      <c r="M625">
        <v>0.66</v>
      </c>
      <c r="N625">
        <v>11</v>
      </c>
      <c r="O625">
        <v>0.62</v>
      </c>
      <c r="P625" t="s">
        <v>24</v>
      </c>
    </row>
    <row r="626" spans="1:16" x14ac:dyDescent="0.35">
      <c r="A626" t="s">
        <v>652</v>
      </c>
      <c r="B626">
        <v>625</v>
      </c>
      <c r="C626">
        <v>22</v>
      </c>
      <c r="D626" t="s">
        <v>32</v>
      </c>
      <c r="E626" t="s">
        <v>30</v>
      </c>
      <c r="F626">
        <v>3.66</v>
      </c>
      <c r="G626">
        <v>4</v>
      </c>
      <c r="H626">
        <v>72.900000000000006</v>
      </c>
      <c r="I626">
        <v>0.97</v>
      </c>
      <c r="J626" t="s">
        <v>28</v>
      </c>
      <c r="K626">
        <v>25</v>
      </c>
      <c r="L626">
        <v>35</v>
      </c>
      <c r="M626">
        <v>0.87</v>
      </c>
      <c r="N626">
        <v>5</v>
      </c>
      <c r="O626">
        <v>0.79</v>
      </c>
      <c r="P626" t="s">
        <v>41</v>
      </c>
    </row>
    <row r="627" spans="1:16" x14ac:dyDescent="0.35">
      <c r="A627" t="s">
        <v>653</v>
      </c>
      <c r="B627">
        <v>626</v>
      </c>
      <c r="C627">
        <v>19</v>
      </c>
      <c r="D627" t="s">
        <v>21</v>
      </c>
      <c r="E627" t="s">
        <v>22</v>
      </c>
      <c r="F627">
        <v>2.4300000000000002</v>
      </c>
      <c r="G627">
        <v>6</v>
      </c>
      <c r="H627">
        <v>70.3</v>
      </c>
      <c r="I627">
        <v>0.79</v>
      </c>
      <c r="J627" t="s">
        <v>28</v>
      </c>
      <c r="K627">
        <v>27</v>
      </c>
      <c r="L627">
        <v>62</v>
      </c>
      <c r="M627">
        <v>0.93</v>
      </c>
      <c r="N627">
        <v>17</v>
      </c>
      <c r="O627">
        <v>0.9</v>
      </c>
      <c r="P627" t="s">
        <v>19</v>
      </c>
    </row>
    <row r="628" spans="1:16" x14ac:dyDescent="0.35">
      <c r="A628" t="s">
        <v>654</v>
      </c>
      <c r="B628">
        <v>627</v>
      </c>
      <c r="C628">
        <v>22</v>
      </c>
      <c r="D628" t="s">
        <v>16</v>
      </c>
      <c r="E628" t="s">
        <v>30</v>
      </c>
      <c r="F628">
        <v>3.62</v>
      </c>
      <c r="G628">
        <v>6</v>
      </c>
      <c r="H628">
        <v>78.599999999999994</v>
      </c>
      <c r="I628">
        <v>0.8</v>
      </c>
      <c r="J628" t="s">
        <v>18</v>
      </c>
      <c r="K628">
        <v>12</v>
      </c>
      <c r="L628">
        <v>28</v>
      </c>
      <c r="M628">
        <v>0.67</v>
      </c>
      <c r="N628">
        <v>7</v>
      </c>
      <c r="O628">
        <v>0.89</v>
      </c>
      <c r="P628" t="s">
        <v>24</v>
      </c>
    </row>
    <row r="629" spans="1:16" x14ac:dyDescent="0.35">
      <c r="A629" t="s">
        <v>655</v>
      </c>
      <c r="B629">
        <v>628</v>
      </c>
      <c r="C629">
        <v>23</v>
      </c>
      <c r="D629" t="s">
        <v>32</v>
      </c>
      <c r="E629" t="s">
        <v>17</v>
      </c>
      <c r="F629">
        <v>3.57</v>
      </c>
      <c r="G629">
        <v>6</v>
      </c>
      <c r="H629">
        <v>65.3</v>
      </c>
      <c r="I629">
        <v>0.65</v>
      </c>
      <c r="J629" t="s">
        <v>23</v>
      </c>
      <c r="K629">
        <v>11</v>
      </c>
      <c r="L629">
        <v>62</v>
      </c>
      <c r="M629">
        <v>0.67</v>
      </c>
      <c r="N629">
        <v>14</v>
      </c>
      <c r="O629">
        <v>0.68</v>
      </c>
      <c r="P629" t="s">
        <v>19</v>
      </c>
    </row>
    <row r="630" spans="1:16" x14ac:dyDescent="0.35">
      <c r="A630" t="s">
        <v>656</v>
      </c>
      <c r="B630">
        <v>629</v>
      </c>
      <c r="C630">
        <v>24</v>
      </c>
      <c r="D630" t="s">
        <v>16</v>
      </c>
      <c r="E630" t="s">
        <v>30</v>
      </c>
      <c r="F630">
        <v>3.26</v>
      </c>
      <c r="G630">
        <v>5</v>
      </c>
      <c r="H630">
        <v>97.1</v>
      </c>
      <c r="I630">
        <v>0.92</v>
      </c>
      <c r="J630" t="s">
        <v>18</v>
      </c>
      <c r="K630">
        <v>27</v>
      </c>
      <c r="L630">
        <v>26</v>
      </c>
      <c r="M630">
        <v>0.95</v>
      </c>
      <c r="N630">
        <v>2</v>
      </c>
      <c r="O630">
        <v>0.99</v>
      </c>
      <c r="P630" t="s">
        <v>41</v>
      </c>
    </row>
    <row r="631" spans="1:16" x14ac:dyDescent="0.35">
      <c r="A631" t="s">
        <v>657</v>
      </c>
      <c r="B631">
        <v>630</v>
      </c>
      <c r="C631">
        <v>24</v>
      </c>
      <c r="D631" t="s">
        <v>32</v>
      </c>
      <c r="E631" t="s">
        <v>30</v>
      </c>
      <c r="F631">
        <v>2.75</v>
      </c>
      <c r="G631">
        <v>4</v>
      </c>
      <c r="H631">
        <v>94.7</v>
      </c>
      <c r="I631">
        <v>0.7</v>
      </c>
      <c r="J631" t="s">
        <v>28</v>
      </c>
      <c r="K631">
        <v>1</v>
      </c>
      <c r="L631">
        <v>55</v>
      </c>
      <c r="M631">
        <v>0.52</v>
      </c>
      <c r="N631">
        <v>1</v>
      </c>
      <c r="O631">
        <v>0.8</v>
      </c>
      <c r="P631" t="s">
        <v>19</v>
      </c>
    </row>
    <row r="632" spans="1:16" x14ac:dyDescent="0.35">
      <c r="A632" t="s">
        <v>658</v>
      </c>
      <c r="B632">
        <v>631</v>
      </c>
      <c r="C632">
        <v>18</v>
      </c>
      <c r="D632" t="s">
        <v>16</v>
      </c>
      <c r="E632" t="s">
        <v>46</v>
      </c>
      <c r="F632">
        <v>2.54</v>
      </c>
      <c r="G632">
        <v>3</v>
      </c>
      <c r="H632">
        <v>88.3</v>
      </c>
      <c r="I632">
        <v>0.96</v>
      </c>
      <c r="J632" t="s">
        <v>23</v>
      </c>
      <c r="K632">
        <v>36</v>
      </c>
      <c r="L632">
        <v>62</v>
      </c>
      <c r="M632">
        <v>0.68</v>
      </c>
      <c r="N632">
        <v>8</v>
      </c>
      <c r="O632">
        <v>0.7</v>
      </c>
      <c r="P632" t="s">
        <v>24</v>
      </c>
    </row>
    <row r="633" spans="1:16" x14ac:dyDescent="0.35">
      <c r="A633" t="s">
        <v>659</v>
      </c>
      <c r="B633">
        <v>632</v>
      </c>
      <c r="C633">
        <v>21</v>
      </c>
      <c r="D633" t="s">
        <v>32</v>
      </c>
      <c r="E633" t="s">
        <v>30</v>
      </c>
      <c r="F633">
        <v>2.46</v>
      </c>
      <c r="G633">
        <v>3</v>
      </c>
      <c r="H633">
        <v>64.2</v>
      </c>
      <c r="I633">
        <v>0.96</v>
      </c>
      <c r="J633" t="s">
        <v>18</v>
      </c>
      <c r="K633">
        <v>33</v>
      </c>
      <c r="L633">
        <v>73</v>
      </c>
      <c r="M633">
        <v>0.56000000000000005</v>
      </c>
      <c r="N633">
        <v>7</v>
      </c>
      <c r="O633">
        <v>0.92</v>
      </c>
      <c r="P633" t="s">
        <v>19</v>
      </c>
    </row>
    <row r="634" spans="1:16" x14ac:dyDescent="0.35">
      <c r="A634" t="s">
        <v>660</v>
      </c>
      <c r="B634">
        <v>633</v>
      </c>
      <c r="C634">
        <v>22</v>
      </c>
      <c r="D634" t="s">
        <v>21</v>
      </c>
      <c r="E634" t="s">
        <v>22</v>
      </c>
      <c r="F634">
        <v>2.64</v>
      </c>
      <c r="G634">
        <v>3</v>
      </c>
      <c r="H634">
        <v>91</v>
      </c>
      <c r="I634">
        <v>0.98</v>
      </c>
      <c r="J634" t="s">
        <v>18</v>
      </c>
      <c r="K634">
        <v>22</v>
      </c>
      <c r="L634">
        <v>54</v>
      </c>
      <c r="M634">
        <v>0.51</v>
      </c>
      <c r="N634">
        <v>3</v>
      </c>
      <c r="O634">
        <v>0.86</v>
      </c>
      <c r="P634" t="s">
        <v>24</v>
      </c>
    </row>
    <row r="635" spans="1:16" x14ac:dyDescent="0.35">
      <c r="A635" t="s">
        <v>661</v>
      </c>
      <c r="B635">
        <v>634</v>
      </c>
      <c r="C635">
        <v>18</v>
      </c>
      <c r="D635" t="s">
        <v>32</v>
      </c>
      <c r="E635" t="s">
        <v>46</v>
      </c>
      <c r="F635">
        <v>3.81</v>
      </c>
      <c r="G635">
        <v>3</v>
      </c>
      <c r="H635">
        <v>92.3</v>
      </c>
      <c r="I635">
        <v>0.81</v>
      </c>
      <c r="J635" t="s">
        <v>18</v>
      </c>
      <c r="K635">
        <v>28</v>
      </c>
      <c r="L635">
        <v>58</v>
      </c>
      <c r="M635">
        <v>0.56000000000000005</v>
      </c>
      <c r="N635">
        <v>1</v>
      </c>
      <c r="O635">
        <v>0.87</v>
      </c>
      <c r="P635" t="s">
        <v>24</v>
      </c>
    </row>
    <row r="636" spans="1:16" x14ac:dyDescent="0.35">
      <c r="A636" t="s">
        <v>662</v>
      </c>
      <c r="B636">
        <v>635</v>
      </c>
      <c r="C636">
        <v>19</v>
      </c>
      <c r="D636" t="s">
        <v>16</v>
      </c>
      <c r="E636" t="s">
        <v>17</v>
      </c>
      <c r="F636">
        <v>2.16</v>
      </c>
      <c r="G636">
        <v>6</v>
      </c>
      <c r="H636">
        <v>90.7</v>
      </c>
      <c r="I636">
        <v>0.87</v>
      </c>
      <c r="J636" t="s">
        <v>28</v>
      </c>
      <c r="K636">
        <v>34</v>
      </c>
      <c r="L636">
        <v>28</v>
      </c>
      <c r="M636">
        <v>0.72</v>
      </c>
      <c r="N636">
        <v>13</v>
      </c>
      <c r="O636">
        <v>0.6</v>
      </c>
      <c r="P636" t="s">
        <v>19</v>
      </c>
    </row>
    <row r="637" spans="1:16" x14ac:dyDescent="0.35">
      <c r="A637" t="s">
        <v>663</v>
      </c>
      <c r="B637">
        <v>636</v>
      </c>
      <c r="C637">
        <v>19</v>
      </c>
      <c r="D637" t="s">
        <v>16</v>
      </c>
      <c r="E637" t="s">
        <v>22</v>
      </c>
      <c r="F637">
        <v>3.66</v>
      </c>
      <c r="G637">
        <v>4</v>
      </c>
      <c r="H637">
        <v>64.599999999999994</v>
      </c>
      <c r="I637">
        <v>0.91</v>
      </c>
      <c r="J637" t="s">
        <v>18</v>
      </c>
      <c r="K637">
        <v>10</v>
      </c>
      <c r="L637">
        <v>80</v>
      </c>
      <c r="M637">
        <v>0.84</v>
      </c>
      <c r="N637">
        <v>1</v>
      </c>
      <c r="O637">
        <v>0.73</v>
      </c>
      <c r="P637" t="s">
        <v>41</v>
      </c>
    </row>
    <row r="638" spans="1:16" x14ac:dyDescent="0.35">
      <c r="A638" t="s">
        <v>664</v>
      </c>
      <c r="B638">
        <v>637</v>
      </c>
      <c r="C638">
        <v>18</v>
      </c>
      <c r="D638" t="s">
        <v>32</v>
      </c>
      <c r="E638" t="s">
        <v>17</v>
      </c>
      <c r="F638">
        <v>2.7</v>
      </c>
      <c r="G638">
        <v>4</v>
      </c>
      <c r="H638">
        <v>85.8</v>
      </c>
      <c r="I638">
        <v>0.65</v>
      </c>
      <c r="J638" t="s">
        <v>23</v>
      </c>
      <c r="K638">
        <v>32</v>
      </c>
      <c r="L638">
        <v>74</v>
      </c>
      <c r="M638">
        <v>0.64</v>
      </c>
      <c r="N638">
        <v>1</v>
      </c>
      <c r="O638">
        <v>0.93</v>
      </c>
      <c r="P638" t="s">
        <v>19</v>
      </c>
    </row>
    <row r="639" spans="1:16" x14ac:dyDescent="0.35">
      <c r="A639" t="s">
        <v>665</v>
      </c>
      <c r="B639">
        <v>638</v>
      </c>
      <c r="C639">
        <v>24</v>
      </c>
      <c r="D639" t="s">
        <v>21</v>
      </c>
      <c r="E639" t="s">
        <v>30</v>
      </c>
      <c r="F639">
        <v>3.04</v>
      </c>
      <c r="G639">
        <v>5</v>
      </c>
      <c r="H639">
        <v>93.4</v>
      </c>
      <c r="I639">
        <v>0.84</v>
      </c>
      <c r="J639" t="s">
        <v>18</v>
      </c>
      <c r="K639">
        <v>10</v>
      </c>
      <c r="L639">
        <v>46</v>
      </c>
      <c r="M639">
        <v>0.92</v>
      </c>
      <c r="N639">
        <v>6</v>
      </c>
      <c r="O639">
        <v>0.75</v>
      </c>
      <c r="P639" t="s">
        <v>24</v>
      </c>
    </row>
    <row r="640" spans="1:16" x14ac:dyDescent="0.35">
      <c r="A640" t="s">
        <v>666</v>
      </c>
      <c r="B640">
        <v>639</v>
      </c>
      <c r="C640">
        <v>19</v>
      </c>
      <c r="D640" t="s">
        <v>21</v>
      </c>
      <c r="E640" t="s">
        <v>22</v>
      </c>
      <c r="F640">
        <v>3.59</v>
      </c>
      <c r="G640">
        <v>4</v>
      </c>
      <c r="H640">
        <v>83.1</v>
      </c>
      <c r="I640">
        <v>0.61</v>
      </c>
      <c r="J640" t="s">
        <v>28</v>
      </c>
      <c r="K640">
        <v>8</v>
      </c>
      <c r="L640">
        <v>79</v>
      </c>
      <c r="M640">
        <v>0.72</v>
      </c>
      <c r="N640">
        <v>11</v>
      </c>
      <c r="O640">
        <v>0.84</v>
      </c>
      <c r="P640" t="s">
        <v>19</v>
      </c>
    </row>
    <row r="641" spans="1:16" x14ac:dyDescent="0.35">
      <c r="A641" t="s">
        <v>667</v>
      </c>
      <c r="B641">
        <v>640</v>
      </c>
      <c r="C641">
        <v>25</v>
      </c>
      <c r="D641" t="s">
        <v>32</v>
      </c>
      <c r="E641" t="s">
        <v>22</v>
      </c>
      <c r="F641">
        <v>3.77</v>
      </c>
      <c r="G641">
        <v>4</v>
      </c>
      <c r="H641">
        <v>85.9</v>
      </c>
      <c r="I641">
        <v>0.8</v>
      </c>
      <c r="J641" t="s">
        <v>18</v>
      </c>
      <c r="K641">
        <v>13</v>
      </c>
      <c r="L641">
        <v>35</v>
      </c>
      <c r="M641">
        <v>0.98</v>
      </c>
      <c r="N641">
        <v>5</v>
      </c>
      <c r="O641">
        <v>0.79</v>
      </c>
      <c r="P641" t="s">
        <v>24</v>
      </c>
    </row>
    <row r="642" spans="1:16" x14ac:dyDescent="0.35">
      <c r="A642" t="s">
        <v>668</v>
      </c>
      <c r="B642">
        <v>641</v>
      </c>
      <c r="C642">
        <v>23</v>
      </c>
      <c r="D642" t="s">
        <v>32</v>
      </c>
      <c r="E642" t="s">
        <v>17</v>
      </c>
      <c r="F642">
        <v>2.69</v>
      </c>
      <c r="G642">
        <v>4</v>
      </c>
      <c r="H642">
        <v>78.3</v>
      </c>
      <c r="I642">
        <v>0.66</v>
      </c>
      <c r="J642" t="s">
        <v>28</v>
      </c>
      <c r="K642">
        <v>8</v>
      </c>
      <c r="L642">
        <v>11</v>
      </c>
      <c r="M642">
        <v>0.98</v>
      </c>
      <c r="N642">
        <v>17</v>
      </c>
      <c r="O642">
        <v>0.92</v>
      </c>
      <c r="P642" t="s">
        <v>19</v>
      </c>
    </row>
    <row r="643" spans="1:16" x14ac:dyDescent="0.35">
      <c r="A643" t="s">
        <v>669</v>
      </c>
      <c r="B643">
        <v>642</v>
      </c>
      <c r="C643">
        <v>23</v>
      </c>
      <c r="D643" t="s">
        <v>16</v>
      </c>
      <c r="E643" t="s">
        <v>22</v>
      </c>
      <c r="F643">
        <v>2.92</v>
      </c>
      <c r="G643">
        <v>5</v>
      </c>
      <c r="H643">
        <v>81.099999999999994</v>
      </c>
      <c r="I643">
        <v>0.67</v>
      </c>
      <c r="J643" t="s">
        <v>28</v>
      </c>
      <c r="K643">
        <v>38</v>
      </c>
      <c r="L643">
        <v>68</v>
      </c>
      <c r="M643">
        <v>0.89</v>
      </c>
      <c r="N643">
        <v>3</v>
      </c>
      <c r="O643">
        <v>0.64</v>
      </c>
      <c r="P643" t="s">
        <v>19</v>
      </c>
    </row>
    <row r="644" spans="1:16" x14ac:dyDescent="0.35">
      <c r="A644" t="s">
        <v>670</v>
      </c>
      <c r="B644">
        <v>643</v>
      </c>
      <c r="C644">
        <v>25</v>
      </c>
      <c r="D644" t="s">
        <v>21</v>
      </c>
      <c r="E644" t="s">
        <v>22</v>
      </c>
      <c r="F644">
        <v>2.83</v>
      </c>
      <c r="G644">
        <v>3</v>
      </c>
      <c r="H644">
        <v>61.4</v>
      </c>
      <c r="I644">
        <v>0.75</v>
      </c>
      <c r="J644" t="s">
        <v>23</v>
      </c>
      <c r="K644">
        <v>2</v>
      </c>
      <c r="L644">
        <v>14</v>
      </c>
      <c r="M644">
        <v>0.97</v>
      </c>
      <c r="N644">
        <v>18</v>
      </c>
      <c r="O644">
        <v>0.79</v>
      </c>
      <c r="P644" t="s">
        <v>24</v>
      </c>
    </row>
    <row r="645" spans="1:16" x14ac:dyDescent="0.35">
      <c r="A645" t="s">
        <v>671</v>
      </c>
      <c r="B645">
        <v>644</v>
      </c>
      <c r="C645">
        <v>18</v>
      </c>
      <c r="D645" t="s">
        <v>32</v>
      </c>
      <c r="E645" t="s">
        <v>22</v>
      </c>
      <c r="F645">
        <v>2.0299999999999998</v>
      </c>
      <c r="G645">
        <v>4</v>
      </c>
      <c r="H645">
        <v>85.6</v>
      </c>
      <c r="I645">
        <v>0.77</v>
      </c>
      <c r="J645" t="s">
        <v>23</v>
      </c>
      <c r="K645">
        <v>28</v>
      </c>
      <c r="L645">
        <v>46</v>
      </c>
      <c r="M645">
        <v>0.85</v>
      </c>
      <c r="N645">
        <v>12</v>
      </c>
      <c r="O645">
        <v>0.56000000000000005</v>
      </c>
      <c r="P645" t="s">
        <v>19</v>
      </c>
    </row>
    <row r="646" spans="1:16" x14ac:dyDescent="0.35">
      <c r="A646" t="s">
        <v>672</v>
      </c>
      <c r="B646">
        <v>645</v>
      </c>
      <c r="C646">
        <v>25</v>
      </c>
      <c r="D646" t="s">
        <v>21</v>
      </c>
      <c r="E646" t="s">
        <v>30</v>
      </c>
      <c r="F646">
        <v>2.59</v>
      </c>
      <c r="G646">
        <v>5</v>
      </c>
      <c r="H646">
        <v>63.3</v>
      </c>
      <c r="I646">
        <v>0.85</v>
      </c>
      <c r="J646" t="s">
        <v>18</v>
      </c>
      <c r="K646">
        <v>18</v>
      </c>
      <c r="L646">
        <v>40</v>
      </c>
      <c r="M646">
        <v>0.95</v>
      </c>
      <c r="N646">
        <v>19</v>
      </c>
      <c r="O646">
        <v>0.85</v>
      </c>
      <c r="P646" t="s">
        <v>24</v>
      </c>
    </row>
    <row r="647" spans="1:16" x14ac:dyDescent="0.35">
      <c r="A647" t="s">
        <v>673</v>
      </c>
      <c r="B647">
        <v>646</v>
      </c>
      <c r="C647">
        <v>22</v>
      </c>
      <c r="D647" t="s">
        <v>32</v>
      </c>
      <c r="E647" t="s">
        <v>17</v>
      </c>
      <c r="F647">
        <v>2.92</v>
      </c>
      <c r="G647">
        <v>5</v>
      </c>
      <c r="H647">
        <v>77.400000000000006</v>
      </c>
      <c r="I647">
        <v>0.63</v>
      </c>
      <c r="J647" t="s">
        <v>28</v>
      </c>
      <c r="K647">
        <v>35</v>
      </c>
      <c r="L647">
        <v>85</v>
      </c>
      <c r="M647">
        <v>0.62</v>
      </c>
      <c r="N647">
        <v>1</v>
      </c>
      <c r="O647">
        <v>0.87</v>
      </c>
      <c r="P647" t="s">
        <v>19</v>
      </c>
    </row>
    <row r="648" spans="1:16" x14ac:dyDescent="0.35">
      <c r="A648" t="s">
        <v>674</v>
      </c>
      <c r="B648">
        <v>647</v>
      </c>
      <c r="C648">
        <v>22</v>
      </c>
      <c r="D648" t="s">
        <v>32</v>
      </c>
      <c r="E648" t="s">
        <v>22</v>
      </c>
      <c r="F648">
        <v>2.82</v>
      </c>
      <c r="G648">
        <v>6</v>
      </c>
      <c r="H648">
        <v>71.7</v>
      </c>
      <c r="I648">
        <v>0.8</v>
      </c>
      <c r="J648" t="s">
        <v>28</v>
      </c>
      <c r="K648">
        <v>31</v>
      </c>
      <c r="L648">
        <v>57</v>
      </c>
      <c r="M648">
        <v>0.67</v>
      </c>
      <c r="N648">
        <v>7</v>
      </c>
      <c r="O648">
        <v>0.52</v>
      </c>
      <c r="P648" t="s">
        <v>24</v>
      </c>
    </row>
    <row r="649" spans="1:16" x14ac:dyDescent="0.35">
      <c r="A649" t="s">
        <v>675</v>
      </c>
      <c r="B649">
        <v>648</v>
      </c>
      <c r="C649">
        <v>18</v>
      </c>
      <c r="D649" t="s">
        <v>21</v>
      </c>
      <c r="E649" t="s">
        <v>46</v>
      </c>
      <c r="F649">
        <v>3.44</v>
      </c>
      <c r="G649">
        <v>5</v>
      </c>
      <c r="H649">
        <v>81.8</v>
      </c>
      <c r="I649">
        <v>0.67</v>
      </c>
      <c r="J649" t="s">
        <v>23</v>
      </c>
      <c r="K649">
        <v>6</v>
      </c>
      <c r="L649">
        <v>15</v>
      </c>
      <c r="M649">
        <v>0.88</v>
      </c>
      <c r="N649">
        <v>18</v>
      </c>
      <c r="O649">
        <v>0.84</v>
      </c>
      <c r="P649" t="s">
        <v>19</v>
      </c>
    </row>
    <row r="650" spans="1:16" x14ac:dyDescent="0.35">
      <c r="A650" t="s">
        <v>676</v>
      </c>
      <c r="B650">
        <v>649</v>
      </c>
      <c r="C650">
        <v>25</v>
      </c>
      <c r="D650" t="s">
        <v>32</v>
      </c>
      <c r="E650" t="s">
        <v>46</v>
      </c>
      <c r="F650">
        <v>2.77</v>
      </c>
      <c r="G650">
        <v>3</v>
      </c>
      <c r="H650">
        <v>65.3</v>
      </c>
      <c r="I650">
        <v>0.83</v>
      </c>
      <c r="J650" t="s">
        <v>23</v>
      </c>
      <c r="K650">
        <v>27</v>
      </c>
      <c r="L650">
        <v>24</v>
      </c>
      <c r="M650">
        <v>0.71</v>
      </c>
      <c r="N650">
        <v>8</v>
      </c>
      <c r="O650">
        <v>0.71</v>
      </c>
      <c r="P650" t="s">
        <v>24</v>
      </c>
    </row>
    <row r="651" spans="1:16" x14ac:dyDescent="0.35">
      <c r="A651" t="s">
        <v>677</v>
      </c>
      <c r="B651">
        <v>650</v>
      </c>
      <c r="C651">
        <v>22</v>
      </c>
      <c r="D651" t="s">
        <v>32</v>
      </c>
      <c r="E651" t="s">
        <v>46</v>
      </c>
      <c r="F651">
        <v>2.98</v>
      </c>
      <c r="G651">
        <v>4</v>
      </c>
      <c r="H651">
        <v>87.7</v>
      </c>
      <c r="I651">
        <v>0.85</v>
      </c>
      <c r="J651" t="s">
        <v>18</v>
      </c>
      <c r="K651">
        <v>17</v>
      </c>
      <c r="L651">
        <v>24</v>
      </c>
      <c r="M651">
        <v>0.92</v>
      </c>
      <c r="N651">
        <v>3</v>
      </c>
      <c r="O651">
        <v>0.56000000000000005</v>
      </c>
      <c r="P651" t="s">
        <v>24</v>
      </c>
    </row>
    <row r="652" spans="1:16" x14ac:dyDescent="0.35">
      <c r="A652" t="s">
        <v>678</v>
      </c>
      <c r="B652">
        <v>651</v>
      </c>
      <c r="C652">
        <v>24</v>
      </c>
      <c r="D652" t="s">
        <v>16</v>
      </c>
      <c r="E652" t="s">
        <v>46</v>
      </c>
      <c r="F652">
        <v>2.86</v>
      </c>
      <c r="G652">
        <v>5</v>
      </c>
      <c r="H652">
        <v>91.8</v>
      </c>
      <c r="I652">
        <v>0.82</v>
      </c>
      <c r="J652" t="s">
        <v>28</v>
      </c>
      <c r="K652">
        <v>4</v>
      </c>
      <c r="L652">
        <v>70</v>
      </c>
      <c r="M652">
        <v>0.94</v>
      </c>
      <c r="N652">
        <v>15</v>
      </c>
      <c r="O652">
        <v>0.71</v>
      </c>
      <c r="P652" t="s">
        <v>24</v>
      </c>
    </row>
    <row r="653" spans="1:16" x14ac:dyDescent="0.35">
      <c r="A653" t="s">
        <v>679</v>
      </c>
      <c r="B653">
        <v>652</v>
      </c>
      <c r="C653">
        <v>25</v>
      </c>
      <c r="D653" t="s">
        <v>32</v>
      </c>
      <c r="E653" t="s">
        <v>30</v>
      </c>
      <c r="F653">
        <v>3.48</v>
      </c>
      <c r="G653">
        <v>3</v>
      </c>
      <c r="H653">
        <v>66.5</v>
      </c>
      <c r="I653">
        <v>0.9</v>
      </c>
      <c r="J653" t="s">
        <v>23</v>
      </c>
      <c r="K653">
        <v>22</v>
      </c>
      <c r="L653">
        <v>25</v>
      </c>
      <c r="M653">
        <v>0.65</v>
      </c>
      <c r="N653">
        <v>18</v>
      </c>
      <c r="O653">
        <v>0.6</v>
      </c>
      <c r="P653" t="s">
        <v>41</v>
      </c>
    </row>
    <row r="654" spans="1:16" x14ac:dyDescent="0.35">
      <c r="A654" t="s">
        <v>680</v>
      </c>
      <c r="B654">
        <v>653</v>
      </c>
      <c r="C654">
        <v>24</v>
      </c>
      <c r="D654" t="s">
        <v>32</v>
      </c>
      <c r="E654" t="s">
        <v>22</v>
      </c>
      <c r="F654">
        <v>3.73</v>
      </c>
      <c r="G654">
        <v>5</v>
      </c>
      <c r="H654">
        <v>64.2</v>
      </c>
      <c r="I654">
        <v>0.73</v>
      </c>
      <c r="J654" t="s">
        <v>18</v>
      </c>
      <c r="K654">
        <v>21</v>
      </c>
      <c r="L654">
        <v>29</v>
      </c>
      <c r="M654">
        <v>0.91</v>
      </c>
      <c r="N654">
        <v>9</v>
      </c>
      <c r="O654">
        <v>0.71</v>
      </c>
      <c r="P654" t="s">
        <v>19</v>
      </c>
    </row>
    <row r="655" spans="1:16" x14ac:dyDescent="0.35">
      <c r="A655" t="s">
        <v>681</v>
      </c>
      <c r="B655">
        <v>654</v>
      </c>
      <c r="C655">
        <v>22</v>
      </c>
      <c r="D655" t="s">
        <v>32</v>
      </c>
      <c r="E655" t="s">
        <v>17</v>
      </c>
      <c r="F655">
        <v>3.06</v>
      </c>
      <c r="G655">
        <v>5</v>
      </c>
      <c r="H655">
        <v>65.8</v>
      </c>
      <c r="I655">
        <v>0.91</v>
      </c>
      <c r="J655" t="s">
        <v>28</v>
      </c>
      <c r="K655">
        <v>25</v>
      </c>
      <c r="L655">
        <v>86</v>
      </c>
      <c r="M655">
        <v>0.57999999999999996</v>
      </c>
      <c r="N655">
        <v>5</v>
      </c>
      <c r="O655">
        <v>0.69</v>
      </c>
      <c r="P655" t="s">
        <v>41</v>
      </c>
    </row>
    <row r="656" spans="1:16" x14ac:dyDescent="0.35">
      <c r="A656" t="s">
        <v>682</v>
      </c>
      <c r="B656">
        <v>655</v>
      </c>
      <c r="C656">
        <v>23</v>
      </c>
      <c r="D656" t="s">
        <v>16</v>
      </c>
      <c r="E656" t="s">
        <v>22</v>
      </c>
      <c r="F656">
        <v>3.58</v>
      </c>
      <c r="G656">
        <v>5</v>
      </c>
      <c r="H656">
        <v>95.1</v>
      </c>
      <c r="I656">
        <v>0.77</v>
      </c>
      <c r="J656" t="s">
        <v>28</v>
      </c>
      <c r="K656">
        <v>11</v>
      </c>
      <c r="L656">
        <v>53</v>
      </c>
      <c r="M656">
        <v>0.67</v>
      </c>
      <c r="N656">
        <v>15</v>
      </c>
      <c r="O656">
        <v>0.87</v>
      </c>
      <c r="P656" t="s">
        <v>24</v>
      </c>
    </row>
    <row r="657" spans="1:16" x14ac:dyDescent="0.35">
      <c r="A657" t="s">
        <v>683</v>
      </c>
      <c r="B657">
        <v>656</v>
      </c>
      <c r="C657">
        <v>22</v>
      </c>
      <c r="D657" t="s">
        <v>21</v>
      </c>
      <c r="E657" t="s">
        <v>30</v>
      </c>
      <c r="F657">
        <v>2.59</v>
      </c>
      <c r="G657">
        <v>5</v>
      </c>
      <c r="H657">
        <v>81.099999999999994</v>
      </c>
      <c r="I657">
        <v>0.79</v>
      </c>
      <c r="J657" t="s">
        <v>23</v>
      </c>
      <c r="K657">
        <v>39</v>
      </c>
      <c r="L657">
        <v>51</v>
      </c>
      <c r="M657">
        <v>0.76</v>
      </c>
      <c r="N657">
        <v>9</v>
      </c>
      <c r="O657">
        <v>0.89</v>
      </c>
      <c r="P657" t="s">
        <v>24</v>
      </c>
    </row>
    <row r="658" spans="1:16" x14ac:dyDescent="0.35">
      <c r="A658" t="s">
        <v>684</v>
      </c>
      <c r="B658">
        <v>657</v>
      </c>
      <c r="C658">
        <v>24</v>
      </c>
      <c r="D658" t="s">
        <v>16</v>
      </c>
      <c r="E658" t="s">
        <v>46</v>
      </c>
      <c r="F658">
        <v>3.08</v>
      </c>
      <c r="G658">
        <v>5</v>
      </c>
      <c r="H658">
        <v>78.7</v>
      </c>
      <c r="I658">
        <v>0.86</v>
      </c>
      <c r="J658" t="s">
        <v>18</v>
      </c>
      <c r="K658">
        <v>18</v>
      </c>
      <c r="L658">
        <v>55</v>
      </c>
      <c r="M658">
        <v>0.61</v>
      </c>
      <c r="N658">
        <v>12</v>
      </c>
      <c r="O658">
        <v>0.8</v>
      </c>
      <c r="P658" t="s">
        <v>41</v>
      </c>
    </row>
    <row r="659" spans="1:16" x14ac:dyDescent="0.35">
      <c r="A659" t="s">
        <v>685</v>
      </c>
      <c r="B659">
        <v>658</v>
      </c>
      <c r="C659">
        <v>20</v>
      </c>
      <c r="D659" t="s">
        <v>16</v>
      </c>
      <c r="E659" t="s">
        <v>30</v>
      </c>
      <c r="F659">
        <v>2.69</v>
      </c>
      <c r="G659">
        <v>3</v>
      </c>
      <c r="H659">
        <v>64.3</v>
      </c>
      <c r="I659">
        <v>0.61</v>
      </c>
      <c r="J659" t="s">
        <v>23</v>
      </c>
      <c r="K659">
        <v>0</v>
      </c>
      <c r="L659">
        <v>43</v>
      </c>
      <c r="M659">
        <v>0.79</v>
      </c>
      <c r="N659">
        <v>8</v>
      </c>
      <c r="O659">
        <v>0.51</v>
      </c>
      <c r="P659" t="s">
        <v>19</v>
      </c>
    </row>
    <row r="660" spans="1:16" x14ac:dyDescent="0.35">
      <c r="A660" t="s">
        <v>686</v>
      </c>
      <c r="B660">
        <v>659</v>
      </c>
      <c r="C660">
        <v>21</v>
      </c>
      <c r="D660" t="s">
        <v>21</v>
      </c>
      <c r="E660" t="s">
        <v>22</v>
      </c>
      <c r="F660">
        <v>2.83</v>
      </c>
      <c r="G660">
        <v>4</v>
      </c>
      <c r="H660">
        <v>86</v>
      </c>
      <c r="I660">
        <v>0.86</v>
      </c>
      <c r="J660" t="s">
        <v>18</v>
      </c>
      <c r="K660">
        <v>2</v>
      </c>
      <c r="L660">
        <v>73</v>
      </c>
      <c r="M660">
        <v>0.79</v>
      </c>
      <c r="N660">
        <v>6</v>
      </c>
      <c r="O660">
        <v>0.97</v>
      </c>
      <c r="P660" t="s">
        <v>24</v>
      </c>
    </row>
    <row r="661" spans="1:16" x14ac:dyDescent="0.35">
      <c r="A661" t="s">
        <v>687</v>
      </c>
      <c r="B661">
        <v>660</v>
      </c>
      <c r="C661">
        <v>19</v>
      </c>
      <c r="D661" t="s">
        <v>16</v>
      </c>
      <c r="E661" t="s">
        <v>17</v>
      </c>
      <c r="F661">
        <v>3.46</v>
      </c>
      <c r="G661">
        <v>4</v>
      </c>
      <c r="H661">
        <v>94.7</v>
      </c>
      <c r="I661">
        <v>0.85</v>
      </c>
      <c r="J661" t="s">
        <v>28</v>
      </c>
      <c r="K661">
        <v>26</v>
      </c>
      <c r="L661">
        <v>38</v>
      </c>
      <c r="M661">
        <v>0.6</v>
      </c>
      <c r="N661">
        <v>3</v>
      </c>
      <c r="O661">
        <v>0.84</v>
      </c>
      <c r="P661" t="s">
        <v>41</v>
      </c>
    </row>
    <row r="662" spans="1:16" x14ac:dyDescent="0.35">
      <c r="A662" t="s">
        <v>688</v>
      </c>
      <c r="B662">
        <v>661</v>
      </c>
      <c r="C662">
        <v>25</v>
      </c>
      <c r="D662" t="s">
        <v>21</v>
      </c>
      <c r="E662" t="s">
        <v>30</v>
      </c>
      <c r="F662">
        <v>3.76</v>
      </c>
      <c r="G662">
        <v>4</v>
      </c>
      <c r="H662">
        <v>93.1</v>
      </c>
      <c r="I662">
        <v>0.72</v>
      </c>
      <c r="J662" t="s">
        <v>18</v>
      </c>
      <c r="K662">
        <v>17</v>
      </c>
      <c r="L662">
        <v>12</v>
      </c>
      <c r="M662">
        <v>0.9</v>
      </c>
      <c r="N662">
        <v>18</v>
      </c>
      <c r="O662">
        <v>0.52</v>
      </c>
      <c r="P662" t="s">
        <v>19</v>
      </c>
    </row>
    <row r="663" spans="1:16" x14ac:dyDescent="0.35">
      <c r="A663" t="s">
        <v>689</v>
      </c>
      <c r="B663">
        <v>662</v>
      </c>
      <c r="C663">
        <v>20</v>
      </c>
      <c r="D663" t="s">
        <v>16</v>
      </c>
      <c r="E663" t="s">
        <v>17</v>
      </c>
      <c r="F663">
        <v>2.2400000000000002</v>
      </c>
      <c r="G663">
        <v>4</v>
      </c>
      <c r="H663">
        <v>85</v>
      </c>
      <c r="I663">
        <v>0.63</v>
      </c>
      <c r="J663" t="s">
        <v>18</v>
      </c>
      <c r="K663">
        <v>29</v>
      </c>
      <c r="L663">
        <v>18</v>
      </c>
      <c r="M663">
        <v>0.82</v>
      </c>
      <c r="N663">
        <v>3</v>
      </c>
      <c r="O663">
        <v>0.91</v>
      </c>
      <c r="P663" t="s">
        <v>19</v>
      </c>
    </row>
    <row r="664" spans="1:16" x14ac:dyDescent="0.35">
      <c r="A664" t="s">
        <v>690</v>
      </c>
      <c r="B664">
        <v>663</v>
      </c>
      <c r="C664">
        <v>22</v>
      </c>
      <c r="D664" t="s">
        <v>21</v>
      </c>
      <c r="E664" t="s">
        <v>30</v>
      </c>
      <c r="F664">
        <v>3.27</v>
      </c>
      <c r="G664">
        <v>3</v>
      </c>
      <c r="H664">
        <v>63</v>
      </c>
      <c r="I664">
        <v>0.64</v>
      </c>
      <c r="J664" t="s">
        <v>18</v>
      </c>
      <c r="K664">
        <v>1</v>
      </c>
      <c r="L664">
        <v>84</v>
      </c>
      <c r="M664">
        <v>0.66</v>
      </c>
      <c r="N664">
        <v>18</v>
      </c>
      <c r="O664">
        <v>0.6</v>
      </c>
      <c r="P664" t="s">
        <v>19</v>
      </c>
    </row>
    <row r="665" spans="1:16" x14ac:dyDescent="0.35">
      <c r="A665" t="s">
        <v>691</v>
      </c>
      <c r="B665">
        <v>664</v>
      </c>
      <c r="C665">
        <v>23</v>
      </c>
      <c r="D665" t="s">
        <v>32</v>
      </c>
      <c r="E665" t="s">
        <v>17</v>
      </c>
      <c r="F665">
        <v>3.16</v>
      </c>
      <c r="G665">
        <v>6</v>
      </c>
      <c r="H665">
        <v>64.5</v>
      </c>
      <c r="I665">
        <v>0.97</v>
      </c>
      <c r="J665" t="s">
        <v>18</v>
      </c>
      <c r="K665">
        <v>4</v>
      </c>
      <c r="L665">
        <v>84</v>
      </c>
      <c r="M665">
        <v>0.62</v>
      </c>
      <c r="N665">
        <v>18</v>
      </c>
      <c r="O665">
        <v>0.79</v>
      </c>
      <c r="P665" t="s">
        <v>41</v>
      </c>
    </row>
    <row r="666" spans="1:16" x14ac:dyDescent="0.35">
      <c r="A666" t="s">
        <v>692</v>
      </c>
      <c r="B666">
        <v>665</v>
      </c>
      <c r="C666">
        <v>18</v>
      </c>
      <c r="D666" t="s">
        <v>16</v>
      </c>
      <c r="E666" t="s">
        <v>17</v>
      </c>
      <c r="F666">
        <v>2.2400000000000002</v>
      </c>
      <c r="G666">
        <v>6</v>
      </c>
      <c r="H666">
        <v>62</v>
      </c>
      <c r="I666">
        <v>0.88</v>
      </c>
      <c r="J666" t="s">
        <v>18</v>
      </c>
      <c r="K666">
        <v>28</v>
      </c>
      <c r="L666">
        <v>34</v>
      </c>
      <c r="M666">
        <v>0.94</v>
      </c>
      <c r="N666">
        <v>11</v>
      </c>
      <c r="O666">
        <v>0.73</v>
      </c>
      <c r="P666" t="s">
        <v>19</v>
      </c>
    </row>
    <row r="667" spans="1:16" x14ac:dyDescent="0.35">
      <c r="A667" t="s">
        <v>693</v>
      </c>
      <c r="B667">
        <v>666</v>
      </c>
      <c r="C667">
        <v>22</v>
      </c>
      <c r="D667" t="s">
        <v>16</v>
      </c>
      <c r="E667" t="s">
        <v>46</v>
      </c>
      <c r="F667">
        <v>2.42</v>
      </c>
      <c r="G667">
        <v>3</v>
      </c>
      <c r="H667">
        <v>70.3</v>
      </c>
      <c r="I667">
        <v>0.65</v>
      </c>
      <c r="J667" t="s">
        <v>23</v>
      </c>
      <c r="K667">
        <v>32</v>
      </c>
      <c r="L667">
        <v>51</v>
      </c>
      <c r="M667">
        <v>0.92</v>
      </c>
      <c r="N667">
        <v>12</v>
      </c>
      <c r="O667">
        <v>0.71</v>
      </c>
      <c r="P667" t="s">
        <v>19</v>
      </c>
    </row>
    <row r="668" spans="1:16" x14ac:dyDescent="0.35">
      <c r="A668" t="s">
        <v>694</v>
      </c>
      <c r="B668">
        <v>667</v>
      </c>
      <c r="C668">
        <v>23</v>
      </c>
      <c r="D668" t="s">
        <v>16</v>
      </c>
      <c r="E668" t="s">
        <v>17</v>
      </c>
      <c r="F668">
        <v>2.62</v>
      </c>
      <c r="G668">
        <v>3</v>
      </c>
      <c r="H668">
        <v>65.400000000000006</v>
      </c>
      <c r="I668">
        <v>0.74</v>
      </c>
      <c r="J668" t="s">
        <v>18</v>
      </c>
      <c r="K668">
        <v>19</v>
      </c>
      <c r="L668">
        <v>55</v>
      </c>
      <c r="M668">
        <v>0.61</v>
      </c>
      <c r="N668">
        <v>3</v>
      </c>
      <c r="O668">
        <v>0.94</v>
      </c>
      <c r="P668" t="s">
        <v>19</v>
      </c>
    </row>
    <row r="669" spans="1:16" x14ac:dyDescent="0.35">
      <c r="A669" t="s">
        <v>695</v>
      </c>
      <c r="B669">
        <v>668</v>
      </c>
      <c r="C669">
        <v>21</v>
      </c>
      <c r="D669" t="s">
        <v>16</v>
      </c>
      <c r="E669" t="s">
        <v>46</v>
      </c>
      <c r="F669">
        <v>2.33</v>
      </c>
      <c r="G669">
        <v>5</v>
      </c>
      <c r="H669">
        <v>70.400000000000006</v>
      </c>
      <c r="I669">
        <v>0.84</v>
      </c>
      <c r="J669" t="s">
        <v>18</v>
      </c>
      <c r="K669">
        <v>29</v>
      </c>
      <c r="L669">
        <v>82</v>
      </c>
      <c r="M669">
        <v>0.52</v>
      </c>
      <c r="N669">
        <v>9</v>
      </c>
      <c r="O669">
        <v>0.72</v>
      </c>
      <c r="P669" t="s">
        <v>19</v>
      </c>
    </row>
    <row r="670" spans="1:16" x14ac:dyDescent="0.35">
      <c r="A670" t="s">
        <v>696</v>
      </c>
      <c r="B670">
        <v>669</v>
      </c>
      <c r="C670">
        <v>22</v>
      </c>
      <c r="D670" t="s">
        <v>32</v>
      </c>
      <c r="E670" t="s">
        <v>22</v>
      </c>
      <c r="F670">
        <v>2.4900000000000002</v>
      </c>
      <c r="G670">
        <v>5</v>
      </c>
      <c r="H670">
        <v>75.400000000000006</v>
      </c>
      <c r="I670">
        <v>0.93</v>
      </c>
      <c r="J670" t="s">
        <v>28</v>
      </c>
      <c r="K670">
        <v>4</v>
      </c>
      <c r="L670">
        <v>68</v>
      </c>
      <c r="M670">
        <v>0.9</v>
      </c>
      <c r="N670">
        <v>6</v>
      </c>
      <c r="O670">
        <v>0.54</v>
      </c>
      <c r="P670" t="s">
        <v>19</v>
      </c>
    </row>
    <row r="671" spans="1:16" x14ac:dyDescent="0.35">
      <c r="A671" t="s">
        <v>697</v>
      </c>
      <c r="B671">
        <v>670</v>
      </c>
      <c r="C671">
        <v>24</v>
      </c>
      <c r="D671" t="s">
        <v>16</v>
      </c>
      <c r="E671" t="s">
        <v>22</v>
      </c>
      <c r="F671">
        <v>2.54</v>
      </c>
      <c r="G671">
        <v>5</v>
      </c>
      <c r="H671">
        <v>97.7</v>
      </c>
      <c r="I671">
        <v>0.62</v>
      </c>
      <c r="J671" t="s">
        <v>18</v>
      </c>
      <c r="K671">
        <v>20</v>
      </c>
      <c r="L671">
        <v>30</v>
      </c>
      <c r="M671">
        <v>0.81</v>
      </c>
      <c r="N671">
        <v>4</v>
      </c>
      <c r="O671">
        <v>0.97</v>
      </c>
      <c r="P671" t="s">
        <v>19</v>
      </c>
    </row>
    <row r="672" spans="1:16" x14ac:dyDescent="0.35">
      <c r="A672" t="s">
        <v>698</v>
      </c>
      <c r="B672">
        <v>671</v>
      </c>
      <c r="C672">
        <v>18</v>
      </c>
      <c r="D672" t="s">
        <v>32</v>
      </c>
      <c r="E672" t="s">
        <v>46</v>
      </c>
      <c r="F672">
        <v>2.67</v>
      </c>
      <c r="G672">
        <v>4</v>
      </c>
      <c r="H672">
        <v>84.4</v>
      </c>
      <c r="I672">
        <v>0.69</v>
      </c>
      <c r="J672" t="s">
        <v>28</v>
      </c>
      <c r="K672">
        <v>14</v>
      </c>
      <c r="L672">
        <v>83</v>
      </c>
      <c r="M672">
        <v>0.55000000000000004</v>
      </c>
      <c r="N672">
        <v>16</v>
      </c>
      <c r="O672">
        <v>0.96</v>
      </c>
      <c r="P672" t="s">
        <v>19</v>
      </c>
    </row>
    <row r="673" spans="1:16" x14ac:dyDescent="0.35">
      <c r="A673" t="s">
        <v>699</v>
      </c>
      <c r="B673">
        <v>672</v>
      </c>
      <c r="C673">
        <v>23</v>
      </c>
      <c r="D673" t="s">
        <v>32</v>
      </c>
      <c r="E673" t="s">
        <v>46</v>
      </c>
      <c r="F673">
        <v>3.5</v>
      </c>
      <c r="G673">
        <v>5</v>
      </c>
      <c r="H673">
        <v>93.4</v>
      </c>
      <c r="I673">
        <v>0.96</v>
      </c>
      <c r="J673" t="s">
        <v>23</v>
      </c>
      <c r="K673">
        <v>19</v>
      </c>
      <c r="L673">
        <v>31</v>
      </c>
      <c r="M673">
        <v>0.79</v>
      </c>
      <c r="N673">
        <v>17</v>
      </c>
      <c r="O673">
        <v>0.84</v>
      </c>
      <c r="P673" t="s">
        <v>41</v>
      </c>
    </row>
    <row r="674" spans="1:16" x14ac:dyDescent="0.35">
      <c r="A674" t="s">
        <v>700</v>
      </c>
      <c r="B674">
        <v>673</v>
      </c>
      <c r="C674">
        <v>23</v>
      </c>
      <c r="D674" t="s">
        <v>32</v>
      </c>
      <c r="E674" t="s">
        <v>30</v>
      </c>
      <c r="F674">
        <v>3.14</v>
      </c>
      <c r="G674">
        <v>6</v>
      </c>
      <c r="H674">
        <v>88.4</v>
      </c>
      <c r="I674">
        <v>0.6</v>
      </c>
      <c r="J674" t="s">
        <v>23</v>
      </c>
      <c r="K674">
        <v>7</v>
      </c>
      <c r="L674">
        <v>38</v>
      </c>
      <c r="M674">
        <v>0.73</v>
      </c>
      <c r="N674">
        <v>10</v>
      </c>
      <c r="O674">
        <v>0.73</v>
      </c>
      <c r="P674" t="s">
        <v>19</v>
      </c>
    </row>
    <row r="675" spans="1:16" x14ac:dyDescent="0.35">
      <c r="A675" t="s">
        <v>701</v>
      </c>
      <c r="B675">
        <v>674</v>
      </c>
      <c r="C675">
        <v>23</v>
      </c>
      <c r="D675" t="s">
        <v>32</v>
      </c>
      <c r="E675" t="s">
        <v>30</v>
      </c>
      <c r="F675">
        <v>3.97</v>
      </c>
      <c r="G675">
        <v>4</v>
      </c>
      <c r="H675">
        <v>64.5</v>
      </c>
      <c r="I675">
        <v>0.68</v>
      </c>
      <c r="J675" t="s">
        <v>18</v>
      </c>
      <c r="K675">
        <v>30</v>
      </c>
      <c r="L675">
        <v>72</v>
      </c>
      <c r="M675">
        <v>0.89</v>
      </c>
      <c r="N675">
        <v>14</v>
      </c>
      <c r="O675">
        <v>0.55000000000000004</v>
      </c>
      <c r="P675" t="s">
        <v>19</v>
      </c>
    </row>
    <row r="676" spans="1:16" x14ac:dyDescent="0.35">
      <c r="A676" t="s">
        <v>702</v>
      </c>
      <c r="B676">
        <v>675</v>
      </c>
      <c r="C676">
        <v>21</v>
      </c>
      <c r="D676" t="s">
        <v>21</v>
      </c>
      <c r="E676" t="s">
        <v>30</v>
      </c>
      <c r="F676">
        <v>2.83</v>
      </c>
      <c r="G676">
        <v>5</v>
      </c>
      <c r="H676">
        <v>89.4</v>
      </c>
      <c r="I676">
        <v>0.98</v>
      </c>
      <c r="J676" t="s">
        <v>23</v>
      </c>
      <c r="K676">
        <v>11</v>
      </c>
      <c r="L676">
        <v>82</v>
      </c>
      <c r="M676">
        <v>0.6</v>
      </c>
      <c r="N676">
        <v>6</v>
      </c>
      <c r="O676">
        <v>0.9</v>
      </c>
      <c r="P676" t="s">
        <v>24</v>
      </c>
    </row>
    <row r="677" spans="1:16" x14ac:dyDescent="0.35">
      <c r="A677" t="s">
        <v>703</v>
      </c>
      <c r="B677">
        <v>676</v>
      </c>
      <c r="C677">
        <v>22</v>
      </c>
      <c r="D677" t="s">
        <v>21</v>
      </c>
      <c r="E677" t="s">
        <v>22</v>
      </c>
      <c r="F677">
        <v>3.51</v>
      </c>
      <c r="G677">
        <v>4</v>
      </c>
      <c r="H677">
        <v>71</v>
      </c>
      <c r="I677">
        <v>0.85</v>
      </c>
      <c r="J677" t="s">
        <v>18</v>
      </c>
      <c r="K677">
        <v>20</v>
      </c>
      <c r="L677">
        <v>70</v>
      </c>
      <c r="M677">
        <v>0.73</v>
      </c>
      <c r="N677">
        <v>17</v>
      </c>
      <c r="O677">
        <v>0.54</v>
      </c>
      <c r="P677" t="s">
        <v>41</v>
      </c>
    </row>
    <row r="678" spans="1:16" x14ac:dyDescent="0.35">
      <c r="A678" t="s">
        <v>704</v>
      </c>
      <c r="B678">
        <v>677</v>
      </c>
      <c r="C678">
        <v>21</v>
      </c>
      <c r="D678" t="s">
        <v>16</v>
      </c>
      <c r="E678" t="s">
        <v>30</v>
      </c>
      <c r="F678">
        <v>3.74</v>
      </c>
      <c r="G678">
        <v>6</v>
      </c>
      <c r="H678">
        <v>85.6</v>
      </c>
      <c r="I678">
        <v>0.7</v>
      </c>
      <c r="J678" t="s">
        <v>23</v>
      </c>
      <c r="K678">
        <v>29</v>
      </c>
      <c r="L678">
        <v>73</v>
      </c>
      <c r="M678">
        <v>0.57999999999999996</v>
      </c>
      <c r="N678">
        <v>5</v>
      </c>
      <c r="O678">
        <v>0.53</v>
      </c>
      <c r="P678" t="s">
        <v>19</v>
      </c>
    </row>
    <row r="679" spans="1:16" x14ac:dyDescent="0.35">
      <c r="A679" t="s">
        <v>705</v>
      </c>
      <c r="B679">
        <v>678</v>
      </c>
      <c r="C679">
        <v>25</v>
      </c>
      <c r="D679" t="s">
        <v>21</v>
      </c>
      <c r="E679" t="s">
        <v>17</v>
      </c>
      <c r="F679">
        <v>3.36</v>
      </c>
      <c r="G679">
        <v>5</v>
      </c>
      <c r="H679">
        <v>73.599999999999994</v>
      </c>
      <c r="I679">
        <v>0.63</v>
      </c>
      <c r="J679" t="s">
        <v>18</v>
      </c>
      <c r="K679">
        <v>26</v>
      </c>
      <c r="L679">
        <v>78</v>
      </c>
      <c r="M679">
        <v>0.98</v>
      </c>
      <c r="N679">
        <v>17</v>
      </c>
      <c r="O679">
        <v>0.77</v>
      </c>
      <c r="P679" t="s">
        <v>19</v>
      </c>
    </row>
    <row r="680" spans="1:16" x14ac:dyDescent="0.35">
      <c r="A680" t="s">
        <v>706</v>
      </c>
      <c r="B680">
        <v>679</v>
      </c>
      <c r="C680">
        <v>19</v>
      </c>
      <c r="D680" t="s">
        <v>21</v>
      </c>
      <c r="E680" t="s">
        <v>17</v>
      </c>
      <c r="F680">
        <v>2.82</v>
      </c>
      <c r="G680">
        <v>6</v>
      </c>
      <c r="H680">
        <v>99.9</v>
      </c>
      <c r="I680">
        <v>0.61</v>
      </c>
      <c r="J680" t="s">
        <v>18</v>
      </c>
      <c r="K680">
        <v>25</v>
      </c>
      <c r="L680">
        <v>49</v>
      </c>
      <c r="M680">
        <v>0.89</v>
      </c>
      <c r="N680">
        <v>15</v>
      </c>
      <c r="O680">
        <v>0.57999999999999996</v>
      </c>
      <c r="P680" t="s">
        <v>19</v>
      </c>
    </row>
    <row r="681" spans="1:16" x14ac:dyDescent="0.35">
      <c r="A681" t="s">
        <v>707</v>
      </c>
      <c r="B681">
        <v>680</v>
      </c>
      <c r="C681">
        <v>19</v>
      </c>
      <c r="D681" t="s">
        <v>16</v>
      </c>
      <c r="E681" t="s">
        <v>30</v>
      </c>
      <c r="F681">
        <v>3.51</v>
      </c>
      <c r="G681">
        <v>6</v>
      </c>
      <c r="H681">
        <v>70.5</v>
      </c>
      <c r="I681">
        <v>0.7</v>
      </c>
      <c r="J681" t="s">
        <v>28</v>
      </c>
      <c r="K681">
        <v>32</v>
      </c>
      <c r="L681">
        <v>84</v>
      </c>
      <c r="M681">
        <v>0.87</v>
      </c>
      <c r="N681">
        <v>1</v>
      </c>
      <c r="O681">
        <v>0.5</v>
      </c>
      <c r="P681" t="s">
        <v>19</v>
      </c>
    </row>
    <row r="682" spans="1:16" x14ac:dyDescent="0.35">
      <c r="A682" t="s">
        <v>708</v>
      </c>
      <c r="B682">
        <v>681</v>
      </c>
      <c r="C682">
        <v>25</v>
      </c>
      <c r="D682" t="s">
        <v>16</v>
      </c>
      <c r="E682" t="s">
        <v>17</v>
      </c>
      <c r="F682">
        <v>2.41</v>
      </c>
      <c r="G682">
        <v>6</v>
      </c>
      <c r="H682">
        <v>71.2</v>
      </c>
      <c r="I682">
        <v>0.95</v>
      </c>
      <c r="J682" t="s">
        <v>28</v>
      </c>
      <c r="K682">
        <v>25</v>
      </c>
      <c r="L682">
        <v>10</v>
      </c>
      <c r="M682">
        <v>0.85</v>
      </c>
      <c r="N682">
        <v>18</v>
      </c>
      <c r="O682">
        <v>0.71</v>
      </c>
      <c r="P682" t="s">
        <v>19</v>
      </c>
    </row>
    <row r="683" spans="1:16" x14ac:dyDescent="0.35">
      <c r="A683" t="s">
        <v>709</v>
      </c>
      <c r="B683">
        <v>682</v>
      </c>
      <c r="C683">
        <v>22</v>
      </c>
      <c r="D683" t="s">
        <v>16</v>
      </c>
      <c r="E683" t="s">
        <v>22</v>
      </c>
      <c r="F683">
        <v>2.66</v>
      </c>
      <c r="G683">
        <v>5</v>
      </c>
      <c r="H683">
        <v>97.2</v>
      </c>
      <c r="I683">
        <v>0.77</v>
      </c>
      <c r="J683" t="s">
        <v>28</v>
      </c>
      <c r="K683">
        <v>25</v>
      </c>
      <c r="L683">
        <v>74</v>
      </c>
      <c r="M683">
        <v>0.71</v>
      </c>
      <c r="N683">
        <v>0</v>
      </c>
      <c r="O683">
        <v>0.56999999999999995</v>
      </c>
      <c r="P683" t="s">
        <v>24</v>
      </c>
    </row>
    <row r="684" spans="1:16" x14ac:dyDescent="0.35">
      <c r="A684" t="s">
        <v>710</v>
      </c>
      <c r="B684">
        <v>683</v>
      </c>
      <c r="C684">
        <v>24</v>
      </c>
      <c r="D684" t="s">
        <v>21</v>
      </c>
      <c r="E684" t="s">
        <v>17</v>
      </c>
      <c r="F684">
        <v>3.09</v>
      </c>
      <c r="G684">
        <v>3</v>
      </c>
      <c r="H684">
        <v>61</v>
      </c>
      <c r="I684">
        <v>0.89</v>
      </c>
      <c r="J684" t="s">
        <v>28</v>
      </c>
      <c r="K684">
        <v>35</v>
      </c>
      <c r="L684">
        <v>71</v>
      </c>
      <c r="M684">
        <v>0.96</v>
      </c>
      <c r="N684">
        <v>10</v>
      </c>
      <c r="O684">
        <v>0.57999999999999996</v>
      </c>
      <c r="P684" t="s">
        <v>41</v>
      </c>
    </row>
    <row r="685" spans="1:16" x14ac:dyDescent="0.35">
      <c r="A685" t="s">
        <v>711</v>
      </c>
      <c r="B685">
        <v>684</v>
      </c>
      <c r="C685">
        <v>21</v>
      </c>
      <c r="D685" t="s">
        <v>21</v>
      </c>
      <c r="E685" t="s">
        <v>22</v>
      </c>
      <c r="F685">
        <v>3.15</v>
      </c>
      <c r="G685">
        <v>5</v>
      </c>
      <c r="H685">
        <v>87.9</v>
      </c>
      <c r="I685">
        <v>0.97</v>
      </c>
      <c r="J685" t="s">
        <v>18</v>
      </c>
      <c r="K685">
        <v>39</v>
      </c>
      <c r="L685">
        <v>63</v>
      </c>
      <c r="M685">
        <v>0.54</v>
      </c>
      <c r="N685">
        <v>19</v>
      </c>
      <c r="O685">
        <v>0.54</v>
      </c>
      <c r="P685" t="s">
        <v>41</v>
      </c>
    </row>
    <row r="686" spans="1:16" x14ac:dyDescent="0.35">
      <c r="A686" t="s">
        <v>712</v>
      </c>
      <c r="B686">
        <v>685</v>
      </c>
      <c r="C686">
        <v>18</v>
      </c>
      <c r="D686" t="s">
        <v>16</v>
      </c>
      <c r="E686" t="s">
        <v>46</v>
      </c>
      <c r="F686">
        <v>2.04</v>
      </c>
      <c r="G686">
        <v>6</v>
      </c>
      <c r="H686">
        <v>89</v>
      </c>
      <c r="I686">
        <v>0.76</v>
      </c>
      <c r="J686" t="s">
        <v>23</v>
      </c>
      <c r="K686">
        <v>0</v>
      </c>
      <c r="L686">
        <v>69</v>
      </c>
      <c r="M686">
        <v>0.9</v>
      </c>
      <c r="N686">
        <v>4</v>
      </c>
      <c r="O686">
        <v>0.6</v>
      </c>
      <c r="P686" t="s">
        <v>19</v>
      </c>
    </row>
    <row r="687" spans="1:16" x14ac:dyDescent="0.35">
      <c r="A687" t="s">
        <v>713</v>
      </c>
      <c r="B687">
        <v>686</v>
      </c>
      <c r="C687">
        <v>23</v>
      </c>
      <c r="D687" t="s">
        <v>32</v>
      </c>
      <c r="E687" t="s">
        <v>46</v>
      </c>
      <c r="F687">
        <v>3.89</v>
      </c>
      <c r="G687">
        <v>5</v>
      </c>
      <c r="H687">
        <v>93.5</v>
      </c>
      <c r="I687">
        <v>0.68</v>
      </c>
      <c r="J687" t="s">
        <v>18</v>
      </c>
      <c r="K687">
        <v>14</v>
      </c>
      <c r="L687">
        <v>55</v>
      </c>
      <c r="M687">
        <v>0.61</v>
      </c>
      <c r="N687">
        <v>15</v>
      </c>
      <c r="O687">
        <v>0.86</v>
      </c>
      <c r="P687" t="s">
        <v>19</v>
      </c>
    </row>
    <row r="688" spans="1:16" x14ac:dyDescent="0.35">
      <c r="A688" t="s">
        <v>714</v>
      </c>
      <c r="B688">
        <v>687</v>
      </c>
      <c r="C688">
        <v>23</v>
      </c>
      <c r="D688" t="s">
        <v>16</v>
      </c>
      <c r="E688" t="s">
        <v>46</v>
      </c>
      <c r="F688">
        <v>3.39</v>
      </c>
      <c r="G688">
        <v>6</v>
      </c>
      <c r="H688">
        <v>99</v>
      </c>
      <c r="I688">
        <v>0.81</v>
      </c>
      <c r="J688" t="s">
        <v>28</v>
      </c>
      <c r="K688">
        <v>0</v>
      </c>
      <c r="L688">
        <v>14</v>
      </c>
      <c r="M688">
        <v>0.66</v>
      </c>
      <c r="N688">
        <v>0</v>
      </c>
      <c r="O688">
        <v>0.9</v>
      </c>
      <c r="P688" t="s">
        <v>24</v>
      </c>
    </row>
    <row r="689" spans="1:16" x14ac:dyDescent="0.35">
      <c r="A689" t="s">
        <v>715</v>
      </c>
      <c r="B689">
        <v>688</v>
      </c>
      <c r="C689">
        <v>22</v>
      </c>
      <c r="D689" t="s">
        <v>32</v>
      </c>
      <c r="E689" t="s">
        <v>46</v>
      </c>
      <c r="F689">
        <v>2.99</v>
      </c>
      <c r="G689">
        <v>3</v>
      </c>
      <c r="H689">
        <v>99</v>
      </c>
      <c r="I689">
        <v>0.96</v>
      </c>
      <c r="J689" t="s">
        <v>28</v>
      </c>
      <c r="K689">
        <v>10</v>
      </c>
      <c r="L689">
        <v>31</v>
      </c>
      <c r="M689">
        <v>0.76</v>
      </c>
      <c r="N689">
        <v>18</v>
      </c>
      <c r="O689">
        <v>0.73</v>
      </c>
      <c r="P689" t="s">
        <v>24</v>
      </c>
    </row>
    <row r="690" spans="1:16" x14ac:dyDescent="0.35">
      <c r="A690" t="s">
        <v>716</v>
      </c>
      <c r="B690">
        <v>689</v>
      </c>
      <c r="C690">
        <v>24</v>
      </c>
      <c r="D690" t="s">
        <v>32</v>
      </c>
      <c r="E690" t="s">
        <v>17</v>
      </c>
      <c r="F690">
        <v>3.87</v>
      </c>
      <c r="G690">
        <v>4</v>
      </c>
      <c r="H690">
        <v>62.6</v>
      </c>
      <c r="I690">
        <v>0.92</v>
      </c>
      <c r="J690" t="s">
        <v>23</v>
      </c>
      <c r="K690">
        <v>1</v>
      </c>
      <c r="L690">
        <v>62</v>
      </c>
      <c r="M690">
        <v>0.89</v>
      </c>
      <c r="N690">
        <v>13</v>
      </c>
      <c r="O690">
        <v>0.75</v>
      </c>
      <c r="P690" t="s">
        <v>41</v>
      </c>
    </row>
    <row r="691" spans="1:16" x14ac:dyDescent="0.35">
      <c r="A691" t="s">
        <v>717</v>
      </c>
      <c r="B691">
        <v>690</v>
      </c>
      <c r="C691">
        <v>19</v>
      </c>
      <c r="D691" t="s">
        <v>16</v>
      </c>
      <c r="E691" t="s">
        <v>30</v>
      </c>
      <c r="F691">
        <v>2.88</v>
      </c>
      <c r="G691">
        <v>3</v>
      </c>
      <c r="H691">
        <v>92.9</v>
      </c>
      <c r="I691">
        <v>0.63</v>
      </c>
      <c r="J691" t="s">
        <v>28</v>
      </c>
      <c r="K691">
        <v>0</v>
      </c>
      <c r="L691">
        <v>79</v>
      </c>
      <c r="M691">
        <v>0.92</v>
      </c>
      <c r="N691">
        <v>2</v>
      </c>
      <c r="O691">
        <v>0.52</v>
      </c>
      <c r="P691" t="s">
        <v>19</v>
      </c>
    </row>
    <row r="692" spans="1:16" x14ac:dyDescent="0.35">
      <c r="A692" t="s">
        <v>718</v>
      </c>
      <c r="B692">
        <v>691</v>
      </c>
      <c r="C692">
        <v>19</v>
      </c>
      <c r="D692" t="s">
        <v>16</v>
      </c>
      <c r="E692" t="s">
        <v>17</v>
      </c>
      <c r="F692">
        <v>3.96</v>
      </c>
      <c r="G692">
        <v>3</v>
      </c>
      <c r="H692">
        <v>85.9</v>
      </c>
      <c r="I692">
        <v>0.88</v>
      </c>
      <c r="J692" t="s">
        <v>18</v>
      </c>
      <c r="K692">
        <v>30</v>
      </c>
      <c r="L692">
        <v>41</v>
      </c>
      <c r="M692">
        <v>0.79</v>
      </c>
      <c r="N692">
        <v>1</v>
      </c>
      <c r="O692">
        <v>0.53</v>
      </c>
      <c r="P692" t="s">
        <v>41</v>
      </c>
    </row>
    <row r="693" spans="1:16" x14ac:dyDescent="0.35">
      <c r="A693" t="s">
        <v>719</v>
      </c>
      <c r="B693">
        <v>692</v>
      </c>
      <c r="C693">
        <v>23</v>
      </c>
      <c r="D693" t="s">
        <v>16</v>
      </c>
      <c r="E693" t="s">
        <v>22</v>
      </c>
      <c r="F693">
        <v>3.02</v>
      </c>
      <c r="G693">
        <v>4</v>
      </c>
      <c r="H693">
        <v>85.9</v>
      </c>
      <c r="I693">
        <v>0.83</v>
      </c>
      <c r="J693" t="s">
        <v>18</v>
      </c>
      <c r="K693">
        <v>15</v>
      </c>
      <c r="L693">
        <v>20</v>
      </c>
      <c r="M693">
        <v>0.7</v>
      </c>
      <c r="N693">
        <v>4</v>
      </c>
      <c r="O693">
        <v>0.63</v>
      </c>
      <c r="P693" t="s">
        <v>24</v>
      </c>
    </row>
    <row r="694" spans="1:16" x14ac:dyDescent="0.35">
      <c r="A694" t="s">
        <v>720</v>
      </c>
      <c r="B694">
        <v>693</v>
      </c>
      <c r="C694">
        <v>22</v>
      </c>
      <c r="D694" t="s">
        <v>21</v>
      </c>
      <c r="E694" t="s">
        <v>17</v>
      </c>
      <c r="F694">
        <v>2.23</v>
      </c>
      <c r="G694">
        <v>5</v>
      </c>
      <c r="H694">
        <v>65.099999999999994</v>
      </c>
      <c r="I694">
        <v>0.96</v>
      </c>
      <c r="J694" t="s">
        <v>18</v>
      </c>
      <c r="K694">
        <v>21</v>
      </c>
      <c r="L694">
        <v>19</v>
      </c>
      <c r="M694">
        <v>0.97</v>
      </c>
      <c r="N694">
        <v>16</v>
      </c>
      <c r="O694">
        <v>0.77</v>
      </c>
      <c r="P694" t="s">
        <v>19</v>
      </c>
    </row>
    <row r="695" spans="1:16" x14ac:dyDescent="0.35">
      <c r="A695" t="s">
        <v>721</v>
      </c>
      <c r="B695">
        <v>694</v>
      </c>
      <c r="C695">
        <v>21</v>
      </c>
      <c r="D695" t="s">
        <v>32</v>
      </c>
      <c r="E695" t="s">
        <v>17</v>
      </c>
      <c r="F695">
        <v>3.53</v>
      </c>
      <c r="G695">
        <v>4</v>
      </c>
      <c r="H695">
        <v>86</v>
      </c>
      <c r="I695">
        <v>0.65</v>
      </c>
      <c r="J695" t="s">
        <v>18</v>
      </c>
      <c r="K695">
        <v>17</v>
      </c>
      <c r="L695">
        <v>48</v>
      </c>
      <c r="M695">
        <v>0.62</v>
      </c>
      <c r="N695">
        <v>17</v>
      </c>
      <c r="O695">
        <v>0.87</v>
      </c>
      <c r="P695" t="s">
        <v>19</v>
      </c>
    </row>
    <row r="696" spans="1:16" x14ac:dyDescent="0.35">
      <c r="A696" t="s">
        <v>722</v>
      </c>
      <c r="B696">
        <v>695</v>
      </c>
      <c r="C696">
        <v>19</v>
      </c>
      <c r="D696" t="s">
        <v>21</v>
      </c>
      <c r="E696" t="s">
        <v>22</v>
      </c>
      <c r="F696">
        <v>3.36</v>
      </c>
      <c r="G696">
        <v>5</v>
      </c>
      <c r="H696">
        <v>99.3</v>
      </c>
      <c r="I696">
        <v>0.81</v>
      </c>
      <c r="J696" t="s">
        <v>18</v>
      </c>
      <c r="K696">
        <v>16</v>
      </c>
      <c r="L696">
        <v>40</v>
      </c>
      <c r="M696">
        <v>0.9</v>
      </c>
      <c r="N696">
        <v>0</v>
      </c>
      <c r="O696">
        <v>0.8</v>
      </c>
      <c r="P696" t="s">
        <v>24</v>
      </c>
    </row>
    <row r="697" spans="1:16" x14ac:dyDescent="0.35">
      <c r="A697" t="s">
        <v>723</v>
      </c>
      <c r="B697">
        <v>696</v>
      </c>
      <c r="C697">
        <v>21</v>
      </c>
      <c r="D697" t="s">
        <v>21</v>
      </c>
      <c r="E697" t="s">
        <v>46</v>
      </c>
      <c r="F697">
        <v>3.55</v>
      </c>
      <c r="G697">
        <v>5</v>
      </c>
      <c r="H697">
        <v>96.5</v>
      </c>
      <c r="I697">
        <v>0.95</v>
      </c>
      <c r="J697" t="s">
        <v>23</v>
      </c>
      <c r="K697">
        <v>29</v>
      </c>
      <c r="L697">
        <v>21</v>
      </c>
      <c r="M697">
        <v>0.81</v>
      </c>
      <c r="N697">
        <v>14</v>
      </c>
      <c r="O697">
        <v>0.7</v>
      </c>
      <c r="P697" t="s">
        <v>41</v>
      </c>
    </row>
    <row r="698" spans="1:16" x14ac:dyDescent="0.35">
      <c r="A698" t="s">
        <v>724</v>
      </c>
      <c r="B698">
        <v>697</v>
      </c>
      <c r="C698">
        <v>24</v>
      </c>
      <c r="D698" t="s">
        <v>16</v>
      </c>
      <c r="E698" t="s">
        <v>46</v>
      </c>
      <c r="F698">
        <v>3.9</v>
      </c>
      <c r="G698">
        <v>6</v>
      </c>
      <c r="H698">
        <v>77.599999999999994</v>
      </c>
      <c r="I698">
        <v>0.76</v>
      </c>
      <c r="J698" t="s">
        <v>18</v>
      </c>
      <c r="K698">
        <v>9</v>
      </c>
      <c r="L698">
        <v>89</v>
      </c>
      <c r="M698">
        <v>0.69</v>
      </c>
      <c r="N698">
        <v>8</v>
      </c>
      <c r="O698">
        <v>0.56000000000000005</v>
      </c>
      <c r="P698" t="s">
        <v>24</v>
      </c>
    </row>
    <row r="699" spans="1:16" x14ac:dyDescent="0.35">
      <c r="A699" t="s">
        <v>725</v>
      </c>
      <c r="B699">
        <v>698</v>
      </c>
      <c r="C699">
        <v>19</v>
      </c>
      <c r="D699" t="s">
        <v>21</v>
      </c>
      <c r="E699" t="s">
        <v>46</v>
      </c>
      <c r="F699">
        <v>3.55</v>
      </c>
      <c r="G699">
        <v>6</v>
      </c>
      <c r="H699">
        <v>61.6</v>
      </c>
      <c r="I699">
        <v>0.79</v>
      </c>
      <c r="J699" t="s">
        <v>28</v>
      </c>
      <c r="K699">
        <v>34</v>
      </c>
      <c r="L699">
        <v>47</v>
      </c>
      <c r="M699">
        <v>0.5</v>
      </c>
      <c r="N699">
        <v>4</v>
      </c>
      <c r="O699">
        <v>0.89</v>
      </c>
      <c r="P699" t="s">
        <v>24</v>
      </c>
    </row>
    <row r="700" spans="1:16" x14ac:dyDescent="0.35">
      <c r="A700" t="s">
        <v>726</v>
      </c>
      <c r="B700">
        <v>699</v>
      </c>
      <c r="C700">
        <v>19</v>
      </c>
      <c r="D700" t="s">
        <v>16</v>
      </c>
      <c r="E700" t="s">
        <v>30</v>
      </c>
      <c r="F700">
        <v>3.22</v>
      </c>
      <c r="G700">
        <v>4</v>
      </c>
      <c r="H700">
        <v>74.5</v>
      </c>
      <c r="I700">
        <v>0.63</v>
      </c>
      <c r="J700" t="s">
        <v>28</v>
      </c>
      <c r="K700">
        <v>20</v>
      </c>
      <c r="L700">
        <v>76</v>
      </c>
      <c r="M700">
        <v>0.72</v>
      </c>
      <c r="N700">
        <v>12</v>
      </c>
      <c r="O700">
        <v>0.68</v>
      </c>
      <c r="P700" t="s">
        <v>19</v>
      </c>
    </row>
    <row r="701" spans="1:16" x14ac:dyDescent="0.35">
      <c r="A701" t="s">
        <v>727</v>
      </c>
      <c r="B701">
        <v>700</v>
      </c>
      <c r="C701">
        <v>20</v>
      </c>
      <c r="D701" t="s">
        <v>32</v>
      </c>
      <c r="E701" t="s">
        <v>22</v>
      </c>
      <c r="F701">
        <v>3.71</v>
      </c>
      <c r="G701">
        <v>3</v>
      </c>
      <c r="H701">
        <v>93.1</v>
      </c>
      <c r="I701">
        <v>0.71</v>
      </c>
      <c r="J701" t="s">
        <v>28</v>
      </c>
      <c r="K701">
        <v>15</v>
      </c>
      <c r="L701">
        <v>75</v>
      </c>
      <c r="M701">
        <v>0.64</v>
      </c>
      <c r="N701">
        <v>18</v>
      </c>
      <c r="O701">
        <v>0.87</v>
      </c>
      <c r="P701" t="s">
        <v>19</v>
      </c>
    </row>
    <row r="702" spans="1:16" x14ac:dyDescent="0.35">
      <c r="A702" t="s">
        <v>728</v>
      </c>
      <c r="B702">
        <v>701</v>
      </c>
      <c r="C702">
        <v>19</v>
      </c>
      <c r="D702" t="s">
        <v>16</v>
      </c>
      <c r="E702" t="s">
        <v>22</v>
      </c>
      <c r="F702">
        <v>3.35</v>
      </c>
      <c r="G702">
        <v>4</v>
      </c>
      <c r="H702">
        <v>88.1</v>
      </c>
      <c r="I702">
        <v>0.73</v>
      </c>
      <c r="J702" t="s">
        <v>28</v>
      </c>
      <c r="K702">
        <v>5</v>
      </c>
      <c r="L702">
        <v>61</v>
      </c>
      <c r="M702">
        <v>0.55000000000000004</v>
      </c>
      <c r="N702">
        <v>9</v>
      </c>
      <c r="O702">
        <v>0.76</v>
      </c>
      <c r="P702" t="s">
        <v>19</v>
      </c>
    </row>
    <row r="703" spans="1:16" x14ac:dyDescent="0.35">
      <c r="A703" t="s">
        <v>729</v>
      </c>
      <c r="B703">
        <v>702</v>
      </c>
      <c r="C703">
        <v>25</v>
      </c>
      <c r="D703" t="s">
        <v>21</v>
      </c>
      <c r="E703" t="s">
        <v>17</v>
      </c>
      <c r="F703">
        <v>2.82</v>
      </c>
      <c r="G703">
        <v>5</v>
      </c>
      <c r="H703">
        <v>78.400000000000006</v>
      </c>
      <c r="I703">
        <v>0.98</v>
      </c>
      <c r="J703" t="s">
        <v>23</v>
      </c>
      <c r="K703">
        <v>2</v>
      </c>
      <c r="L703">
        <v>14</v>
      </c>
      <c r="M703">
        <v>0.54</v>
      </c>
      <c r="N703">
        <v>19</v>
      </c>
      <c r="O703">
        <v>0.87</v>
      </c>
      <c r="P703" t="s">
        <v>24</v>
      </c>
    </row>
    <row r="704" spans="1:16" x14ac:dyDescent="0.35">
      <c r="A704" t="s">
        <v>730</v>
      </c>
      <c r="B704">
        <v>703</v>
      </c>
      <c r="C704">
        <v>18</v>
      </c>
      <c r="D704" t="s">
        <v>21</v>
      </c>
      <c r="E704" t="s">
        <v>30</v>
      </c>
      <c r="F704">
        <v>3.77</v>
      </c>
      <c r="G704">
        <v>6</v>
      </c>
      <c r="H704">
        <v>62.2</v>
      </c>
      <c r="I704">
        <v>0.71</v>
      </c>
      <c r="J704" t="s">
        <v>28</v>
      </c>
      <c r="K704">
        <v>20</v>
      </c>
      <c r="L704">
        <v>20</v>
      </c>
      <c r="M704">
        <v>0.67</v>
      </c>
      <c r="N704">
        <v>13</v>
      </c>
      <c r="O704">
        <v>0.95</v>
      </c>
      <c r="P704" t="s">
        <v>19</v>
      </c>
    </row>
    <row r="705" spans="1:16" x14ac:dyDescent="0.35">
      <c r="A705" t="s">
        <v>731</v>
      </c>
      <c r="B705">
        <v>704</v>
      </c>
      <c r="C705">
        <v>25</v>
      </c>
      <c r="D705" t="s">
        <v>16</v>
      </c>
      <c r="E705" t="s">
        <v>46</v>
      </c>
      <c r="F705">
        <v>2.44</v>
      </c>
      <c r="G705">
        <v>4</v>
      </c>
      <c r="H705">
        <v>77.099999999999994</v>
      </c>
      <c r="I705">
        <v>0.78</v>
      </c>
      <c r="J705" t="s">
        <v>23</v>
      </c>
      <c r="K705">
        <v>12</v>
      </c>
      <c r="L705">
        <v>34</v>
      </c>
      <c r="M705">
        <v>0.81</v>
      </c>
      <c r="N705">
        <v>11</v>
      </c>
      <c r="O705">
        <v>0.96</v>
      </c>
      <c r="P705" t="s">
        <v>19</v>
      </c>
    </row>
    <row r="706" spans="1:16" x14ac:dyDescent="0.35">
      <c r="A706" t="s">
        <v>732</v>
      </c>
      <c r="B706">
        <v>705</v>
      </c>
      <c r="C706">
        <v>22</v>
      </c>
      <c r="D706" t="s">
        <v>16</v>
      </c>
      <c r="E706" t="s">
        <v>30</v>
      </c>
      <c r="F706">
        <v>3.43</v>
      </c>
      <c r="G706">
        <v>4</v>
      </c>
      <c r="H706">
        <v>78.8</v>
      </c>
      <c r="I706">
        <v>0.87</v>
      </c>
      <c r="J706" t="s">
        <v>28</v>
      </c>
      <c r="K706">
        <v>17</v>
      </c>
      <c r="L706">
        <v>44</v>
      </c>
      <c r="M706">
        <v>0.92</v>
      </c>
      <c r="N706">
        <v>10</v>
      </c>
      <c r="O706">
        <v>0.77</v>
      </c>
      <c r="P706" t="s">
        <v>41</v>
      </c>
    </row>
    <row r="707" spans="1:16" x14ac:dyDescent="0.35">
      <c r="A707" t="s">
        <v>733</v>
      </c>
      <c r="B707">
        <v>706</v>
      </c>
      <c r="C707">
        <v>22</v>
      </c>
      <c r="D707" t="s">
        <v>21</v>
      </c>
      <c r="E707" t="s">
        <v>22</v>
      </c>
      <c r="F707">
        <v>3.76</v>
      </c>
      <c r="G707">
        <v>6</v>
      </c>
      <c r="H707">
        <v>97.1</v>
      </c>
      <c r="I707">
        <v>0.66</v>
      </c>
      <c r="J707" t="s">
        <v>23</v>
      </c>
      <c r="K707">
        <v>23</v>
      </c>
      <c r="L707">
        <v>44</v>
      </c>
      <c r="M707">
        <v>0.59</v>
      </c>
      <c r="N707">
        <v>6</v>
      </c>
      <c r="O707">
        <v>0.76</v>
      </c>
      <c r="P707" t="s">
        <v>19</v>
      </c>
    </row>
    <row r="708" spans="1:16" x14ac:dyDescent="0.35">
      <c r="A708" t="s">
        <v>734</v>
      </c>
      <c r="B708">
        <v>707</v>
      </c>
      <c r="C708">
        <v>21</v>
      </c>
      <c r="D708" t="s">
        <v>32</v>
      </c>
      <c r="E708" t="s">
        <v>22</v>
      </c>
      <c r="F708">
        <v>3.46</v>
      </c>
      <c r="G708">
        <v>6</v>
      </c>
      <c r="H708">
        <v>85.6</v>
      </c>
      <c r="I708">
        <v>0.79</v>
      </c>
      <c r="J708" t="s">
        <v>23</v>
      </c>
      <c r="K708">
        <v>26</v>
      </c>
      <c r="L708">
        <v>31</v>
      </c>
      <c r="M708">
        <v>0.71</v>
      </c>
      <c r="N708">
        <v>16</v>
      </c>
      <c r="O708">
        <v>0.63</v>
      </c>
      <c r="P708" t="s">
        <v>24</v>
      </c>
    </row>
    <row r="709" spans="1:16" x14ac:dyDescent="0.35">
      <c r="A709" t="s">
        <v>735</v>
      </c>
      <c r="B709">
        <v>708</v>
      </c>
      <c r="C709">
        <v>25</v>
      </c>
      <c r="D709" t="s">
        <v>32</v>
      </c>
      <c r="E709" t="s">
        <v>17</v>
      </c>
      <c r="F709">
        <v>3.39</v>
      </c>
      <c r="G709">
        <v>6</v>
      </c>
      <c r="H709">
        <v>72.5</v>
      </c>
      <c r="I709">
        <v>0.9</v>
      </c>
      <c r="J709" t="s">
        <v>23</v>
      </c>
      <c r="K709">
        <v>3</v>
      </c>
      <c r="L709">
        <v>46</v>
      </c>
      <c r="M709">
        <v>0.7</v>
      </c>
      <c r="N709">
        <v>17</v>
      </c>
      <c r="O709">
        <v>0.97</v>
      </c>
      <c r="P709" t="s">
        <v>41</v>
      </c>
    </row>
    <row r="710" spans="1:16" x14ac:dyDescent="0.35">
      <c r="A710" t="s">
        <v>736</v>
      </c>
      <c r="B710">
        <v>709</v>
      </c>
      <c r="C710">
        <v>25</v>
      </c>
      <c r="D710" t="s">
        <v>16</v>
      </c>
      <c r="E710" t="s">
        <v>17</v>
      </c>
      <c r="F710">
        <v>3.51</v>
      </c>
      <c r="G710">
        <v>5</v>
      </c>
      <c r="H710">
        <v>81</v>
      </c>
      <c r="I710">
        <v>0.95</v>
      </c>
      <c r="J710" t="s">
        <v>28</v>
      </c>
      <c r="K710">
        <v>21</v>
      </c>
      <c r="L710">
        <v>64</v>
      </c>
      <c r="M710">
        <v>0.76</v>
      </c>
      <c r="N710">
        <v>6</v>
      </c>
      <c r="O710">
        <v>0.73</v>
      </c>
      <c r="P710" t="s">
        <v>41</v>
      </c>
    </row>
    <row r="711" spans="1:16" x14ac:dyDescent="0.35">
      <c r="A711" t="s">
        <v>737</v>
      </c>
      <c r="B711">
        <v>710</v>
      </c>
      <c r="C711">
        <v>25</v>
      </c>
      <c r="D711" t="s">
        <v>32</v>
      </c>
      <c r="E711" t="s">
        <v>22</v>
      </c>
      <c r="F711">
        <v>2.93</v>
      </c>
      <c r="G711">
        <v>6</v>
      </c>
      <c r="H711">
        <v>62.6</v>
      </c>
      <c r="I711">
        <v>0.85</v>
      </c>
      <c r="J711" t="s">
        <v>23</v>
      </c>
      <c r="K711">
        <v>23</v>
      </c>
      <c r="L711">
        <v>84</v>
      </c>
      <c r="M711">
        <v>0.9</v>
      </c>
      <c r="N711">
        <v>19</v>
      </c>
      <c r="O711">
        <v>0.56000000000000005</v>
      </c>
      <c r="P711" t="s">
        <v>24</v>
      </c>
    </row>
    <row r="712" spans="1:16" x14ac:dyDescent="0.35">
      <c r="A712" t="s">
        <v>738</v>
      </c>
      <c r="B712">
        <v>711</v>
      </c>
      <c r="C712">
        <v>24</v>
      </c>
      <c r="D712" t="s">
        <v>21</v>
      </c>
      <c r="E712" t="s">
        <v>46</v>
      </c>
      <c r="F712">
        <v>3.75</v>
      </c>
      <c r="G712">
        <v>3</v>
      </c>
      <c r="H712">
        <v>98.9</v>
      </c>
      <c r="I712">
        <v>0.87</v>
      </c>
      <c r="J712" t="s">
        <v>18</v>
      </c>
      <c r="K712">
        <v>39</v>
      </c>
      <c r="L712">
        <v>81</v>
      </c>
      <c r="M712">
        <v>0.78</v>
      </c>
      <c r="N712">
        <v>5</v>
      </c>
      <c r="O712">
        <v>0.72</v>
      </c>
      <c r="P712" t="s">
        <v>41</v>
      </c>
    </row>
    <row r="713" spans="1:16" x14ac:dyDescent="0.35">
      <c r="A713" t="s">
        <v>739</v>
      </c>
      <c r="B713">
        <v>712</v>
      </c>
      <c r="C713">
        <v>19</v>
      </c>
      <c r="D713" t="s">
        <v>16</v>
      </c>
      <c r="E713" t="s">
        <v>46</v>
      </c>
      <c r="F713">
        <v>2.41</v>
      </c>
      <c r="G713">
        <v>4</v>
      </c>
      <c r="H713">
        <v>74.400000000000006</v>
      </c>
      <c r="I713">
        <v>0.65</v>
      </c>
      <c r="J713" t="s">
        <v>18</v>
      </c>
      <c r="K713">
        <v>9</v>
      </c>
      <c r="L713">
        <v>73</v>
      </c>
      <c r="M713">
        <v>0.92</v>
      </c>
      <c r="N713">
        <v>10</v>
      </c>
      <c r="O713">
        <v>0.56000000000000005</v>
      </c>
      <c r="P713" t="s">
        <v>19</v>
      </c>
    </row>
    <row r="714" spans="1:16" x14ac:dyDescent="0.35">
      <c r="A714" t="s">
        <v>740</v>
      </c>
      <c r="B714">
        <v>713</v>
      </c>
      <c r="C714">
        <v>18</v>
      </c>
      <c r="D714" t="s">
        <v>21</v>
      </c>
      <c r="E714" t="s">
        <v>30</v>
      </c>
      <c r="F714">
        <v>2.25</v>
      </c>
      <c r="G714">
        <v>6</v>
      </c>
      <c r="H714">
        <v>79.099999999999994</v>
      </c>
      <c r="I714">
        <v>0.98</v>
      </c>
      <c r="J714" t="s">
        <v>28</v>
      </c>
      <c r="K714">
        <v>1</v>
      </c>
      <c r="L714">
        <v>29</v>
      </c>
      <c r="M714">
        <v>0.76</v>
      </c>
      <c r="N714">
        <v>11</v>
      </c>
      <c r="O714">
        <v>0.75</v>
      </c>
      <c r="P714" t="s">
        <v>19</v>
      </c>
    </row>
    <row r="715" spans="1:16" x14ac:dyDescent="0.35">
      <c r="A715" t="s">
        <v>741</v>
      </c>
      <c r="B715">
        <v>714</v>
      </c>
      <c r="C715">
        <v>21</v>
      </c>
      <c r="D715" t="s">
        <v>21</v>
      </c>
      <c r="E715" t="s">
        <v>22</v>
      </c>
      <c r="F715">
        <v>2.57</v>
      </c>
      <c r="G715">
        <v>6</v>
      </c>
      <c r="H715">
        <v>74.2</v>
      </c>
      <c r="I715">
        <v>0.65</v>
      </c>
      <c r="J715" t="s">
        <v>18</v>
      </c>
      <c r="K715">
        <v>39</v>
      </c>
      <c r="L715">
        <v>13</v>
      </c>
      <c r="M715">
        <v>0.8</v>
      </c>
      <c r="N715">
        <v>15</v>
      </c>
      <c r="O715">
        <v>0.78</v>
      </c>
      <c r="P715" t="s">
        <v>19</v>
      </c>
    </row>
    <row r="716" spans="1:16" x14ac:dyDescent="0.35">
      <c r="A716" t="s">
        <v>742</v>
      </c>
      <c r="B716">
        <v>715</v>
      </c>
      <c r="C716">
        <v>25</v>
      </c>
      <c r="D716" t="s">
        <v>32</v>
      </c>
      <c r="E716" t="s">
        <v>22</v>
      </c>
      <c r="F716">
        <v>3.06</v>
      </c>
      <c r="G716">
        <v>5</v>
      </c>
      <c r="H716">
        <v>87.3</v>
      </c>
      <c r="I716">
        <v>0.91</v>
      </c>
      <c r="J716" t="s">
        <v>18</v>
      </c>
      <c r="K716">
        <v>5</v>
      </c>
      <c r="L716">
        <v>27</v>
      </c>
      <c r="M716">
        <v>0.72</v>
      </c>
      <c r="N716">
        <v>18</v>
      </c>
      <c r="O716">
        <v>0.67</v>
      </c>
      <c r="P716" t="s">
        <v>41</v>
      </c>
    </row>
    <row r="717" spans="1:16" x14ac:dyDescent="0.35">
      <c r="A717" t="s">
        <v>743</v>
      </c>
      <c r="B717">
        <v>716</v>
      </c>
      <c r="C717">
        <v>25</v>
      </c>
      <c r="D717" t="s">
        <v>16</v>
      </c>
      <c r="E717" t="s">
        <v>46</v>
      </c>
      <c r="F717">
        <v>3.02</v>
      </c>
      <c r="G717">
        <v>5</v>
      </c>
      <c r="H717">
        <v>86.5</v>
      </c>
      <c r="I717">
        <v>0.71</v>
      </c>
      <c r="J717" t="s">
        <v>18</v>
      </c>
      <c r="K717">
        <v>17</v>
      </c>
      <c r="L717">
        <v>60</v>
      </c>
      <c r="M717">
        <v>0.91</v>
      </c>
      <c r="N717">
        <v>18</v>
      </c>
      <c r="O717">
        <v>0.54</v>
      </c>
      <c r="P717" t="s">
        <v>19</v>
      </c>
    </row>
    <row r="718" spans="1:16" x14ac:dyDescent="0.35">
      <c r="A718" t="s">
        <v>744</v>
      </c>
      <c r="B718">
        <v>717</v>
      </c>
      <c r="C718">
        <v>20</v>
      </c>
      <c r="D718" t="s">
        <v>16</v>
      </c>
      <c r="E718" t="s">
        <v>46</v>
      </c>
      <c r="F718">
        <v>3.64</v>
      </c>
      <c r="G718">
        <v>4</v>
      </c>
      <c r="H718">
        <v>88.6</v>
      </c>
      <c r="I718">
        <v>0.97</v>
      </c>
      <c r="J718" t="s">
        <v>28</v>
      </c>
      <c r="K718">
        <v>16</v>
      </c>
      <c r="L718">
        <v>77</v>
      </c>
      <c r="M718">
        <v>0.96</v>
      </c>
      <c r="N718">
        <v>10</v>
      </c>
      <c r="O718">
        <v>0.97</v>
      </c>
      <c r="P718" t="s">
        <v>41</v>
      </c>
    </row>
    <row r="719" spans="1:16" x14ac:dyDescent="0.35">
      <c r="A719" t="s">
        <v>745</v>
      </c>
      <c r="B719">
        <v>718</v>
      </c>
      <c r="C719">
        <v>21</v>
      </c>
      <c r="D719" t="s">
        <v>32</v>
      </c>
      <c r="E719" t="s">
        <v>22</v>
      </c>
      <c r="F719">
        <v>2.81</v>
      </c>
      <c r="G719">
        <v>3</v>
      </c>
      <c r="H719">
        <v>70.7</v>
      </c>
      <c r="I719">
        <v>0.89</v>
      </c>
      <c r="J719" t="s">
        <v>28</v>
      </c>
      <c r="K719">
        <v>37</v>
      </c>
      <c r="L719">
        <v>29</v>
      </c>
      <c r="M719">
        <v>0.82</v>
      </c>
      <c r="N719">
        <v>15</v>
      </c>
      <c r="O719">
        <v>0.89</v>
      </c>
      <c r="P719" t="s">
        <v>24</v>
      </c>
    </row>
    <row r="720" spans="1:16" x14ac:dyDescent="0.35">
      <c r="A720" t="s">
        <v>746</v>
      </c>
      <c r="B720">
        <v>719</v>
      </c>
      <c r="C720">
        <v>25</v>
      </c>
      <c r="D720" t="s">
        <v>21</v>
      </c>
      <c r="E720" t="s">
        <v>17</v>
      </c>
      <c r="F720">
        <v>2.97</v>
      </c>
      <c r="G720">
        <v>4</v>
      </c>
      <c r="H720">
        <v>72.599999999999994</v>
      </c>
      <c r="I720">
        <v>0.9</v>
      </c>
      <c r="J720" t="s">
        <v>18</v>
      </c>
      <c r="K720">
        <v>22</v>
      </c>
      <c r="L720">
        <v>18</v>
      </c>
      <c r="M720">
        <v>0.91</v>
      </c>
      <c r="N720">
        <v>11</v>
      </c>
      <c r="O720">
        <v>0.92</v>
      </c>
      <c r="P720" t="s">
        <v>24</v>
      </c>
    </row>
    <row r="721" spans="1:16" x14ac:dyDescent="0.35">
      <c r="A721" t="s">
        <v>747</v>
      </c>
      <c r="B721">
        <v>720</v>
      </c>
      <c r="C721">
        <v>21</v>
      </c>
      <c r="D721" t="s">
        <v>21</v>
      </c>
      <c r="E721" t="s">
        <v>22</v>
      </c>
      <c r="F721">
        <v>2.0299999999999998</v>
      </c>
      <c r="G721">
        <v>6</v>
      </c>
      <c r="H721">
        <v>65</v>
      </c>
      <c r="I721">
        <v>0.69</v>
      </c>
      <c r="J721" t="s">
        <v>28</v>
      </c>
      <c r="K721">
        <v>29</v>
      </c>
      <c r="L721">
        <v>89</v>
      </c>
      <c r="M721">
        <v>0.53</v>
      </c>
      <c r="N721">
        <v>7</v>
      </c>
      <c r="O721">
        <v>0.68</v>
      </c>
      <c r="P721" t="s">
        <v>19</v>
      </c>
    </row>
    <row r="722" spans="1:16" x14ac:dyDescent="0.35">
      <c r="A722" t="s">
        <v>748</v>
      </c>
      <c r="B722">
        <v>721</v>
      </c>
      <c r="C722">
        <v>19</v>
      </c>
      <c r="D722" t="s">
        <v>21</v>
      </c>
      <c r="E722" t="s">
        <v>22</v>
      </c>
      <c r="F722">
        <v>2.82</v>
      </c>
      <c r="G722">
        <v>3</v>
      </c>
      <c r="H722">
        <v>86.2</v>
      </c>
      <c r="I722">
        <v>0.78</v>
      </c>
      <c r="J722" t="s">
        <v>23</v>
      </c>
      <c r="K722">
        <v>20</v>
      </c>
      <c r="L722">
        <v>35</v>
      </c>
      <c r="M722">
        <v>0.95</v>
      </c>
      <c r="N722">
        <v>2</v>
      </c>
      <c r="O722">
        <v>0.88</v>
      </c>
      <c r="P722" t="s">
        <v>24</v>
      </c>
    </row>
    <row r="723" spans="1:16" x14ac:dyDescent="0.35">
      <c r="A723" t="s">
        <v>749</v>
      </c>
      <c r="B723">
        <v>722</v>
      </c>
      <c r="C723">
        <v>20</v>
      </c>
      <c r="D723" t="s">
        <v>21</v>
      </c>
      <c r="E723" t="s">
        <v>46</v>
      </c>
      <c r="F723">
        <v>3.3</v>
      </c>
      <c r="G723">
        <v>3</v>
      </c>
      <c r="H723">
        <v>61.6</v>
      </c>
      <c r="I723">
        <v>0.85</v>
      </c>
      <c r="J723" t="s">
        <v>18</v>
      </c>
      <c r="K723">
        <v>9</v>
      </c>
      <c r="L723">
        <v>34</v>
      </c>
      <c r="M723">
        <v>0.59</v>
      </c>
      <c r="N723">
        <v>1</v>
      </c>
      <c r="O723">
        <v>0.74</v>
      </c>
      <c r="P723" t="s">
        <v>41</v>
      </c>
    </row>
    <row r="724" spans="1:16" x14ac:dyDescent="0.35">
      <c r="A724" t="s">
        <v>750</v>
      </c>
      <c r="B724">
        <v>723</v>
      </c>
      <c r="C724">
        <v>21</v>
      </c>
      <c r="D724" t="s">
        <v>16</v>
      </c>
      <c r="E724" t="s">
        <v>46</v>
      </c>
      <c r="F724">
        <v>2.0299999999999998</v>
      </c>
      <c r="G724">
        <v>3</v>
      </c>
      <c r="H724">
        <v>83.9</v>
      </c>
      <c r="I724">
        <v>0.91</v>
      </c>
      <c r="J724" t="s">
        <v>28</v>
      </c>
      <c r="K724">
        <v>12</v>
      </c>
      <c r="L724">
        <v>77</v>
      </c>
      <c r="M724">
        <v>0.63</v>
      </c>
      <c r="N724">
        <v>5</v>
      </c>
      <c r="O724">
        <v>0.6</v>
      </c>
      <c r="P724" t="s">
        <v>19</v>
      </c>
    </row>
    <row r="725" spans="1:16" x14ac:dyDescent="0.35">
      <c r="A725" t="s">
        <v>751</v>
      </c>
      <c r="B725">
        <v>724</v>
      </c>
      <c r="C725">
        <v>18</v>
      </c>
      <c r="D725" t="s">
        <v>16</v>
      </c>
      <c r="E725" t="s">
        <v>17</v>
      </c>
      <c r="F725">
        <v>2.56</v>
      </c>
      <c r="G725">
        <v>3</v>
      </c>
      <c r="H725">
        <v>94.8</v>
      </c>
      <c r="I725">
        <v>0.64</v>
      </c>
      <c r="J725" t="s">
        <v>28</v>
      </c>
      <c r="K725">
        <v>11</v>
      </c>
      <c r="L725">
        <v>50</v>
      </c>
      <c r="M725">
        <v>0.53</v>
      </c>
      <c r="N725">
        <v>15</v>
      </c>
      <c r="O725">
        <v>0.56000000000000005</v>
      </c>
      <c r="P725" t="s">
        <v>19</v>
      </c>
    </row>
    <row r="726" spans="1:16" x14ac:dyDescent="0.35">
      <c r="A726" t="s">
        <v>752</v>
      </c>
      <c r="B726">
        <v>725</v>
      </c>
      <c r="C726">
        <v>18</v>
      </c>
      <c r="D726" t="s">
        <v>32</v>
      </c>
      <c r="E726" t="s">
        <v>17</v>
      </c>
      <c r="F726">
        <v>2.42</v>
      </c>
      <c r="G726">
        <v>4</v>
      </c>
      <c r="H726">
        <v>95.6</v>
      </c>
      <c r="I726">
        <v>0.98</v>
      </c>
      <c r="J726" t="s">
        <v>18</v>
      </c>
      <c r="K726">
        <v>8</v>
      </c>
      <c r="L726">
        <v>68</v>
      </c>
      <c r="M726">
        <v>0.98</v>
      </c>
      <c r="N726">
        <v>19</v>
      </c>
      <c r="O726">
        <v>0.67</v>
      </c>
      <c r="P726" t="s">
        <v>19</v>
      </c>
    </row>
    <row r="727" spans="1:16" x14ac:dyDescent="0.35">
      <c r="A727" t="s">
        <v>753</v>
      </c>
      <c r="B727">
        <v>726</v>
      </c>
      <c r="C727">
        <v>22</v>
      </c>
      <c r="D727" t="s">
        <v>32</v>
      </c>
      <c r="E727" t="s">
        <v>30</v>
      </c>
      <c r="F727">
        <v>2.08</v>
      </c>
      <c r="G727">
        <v>5</v>
      </c>
      <c r="H727">
        <v>78</v>
      </c>
      <c r="I727">
        <v>0.96</v>
      </c>
      <c r="J727" t="s">
        <v>28</v>
      </c>
      <c r="K727">
        <v>3</v>
      </c>
      <c r="L727">
        <v>54</v>
      </c>
      <c r="M727">
        <v>0.93</v>
      </c>
      <c r="N727">
        <v>14</v>
      </c>
      <c r="O727">
        <v>0.56999999999999995</v>
      </c>
      <c r="P727" t="s">
        <v>19</v>
      </c>
    </row>
    <row r="728" spans="1:16" x14ac:dyDescent="0.35">
      <c r="A728" t="s">
        <v>754</v>
      </c>
      <c r="B728">
        <v>727</v>
      </c>
      <c r="C728">
        <v>20</v>
      </c>
      <c r="D728" t="s">
        <v>16</v>
      </c>
      <c r="E728" t="s">
        <v>22</v>
      </c>
      <c r="F728">
        <v>2.96</v>
      </c>
      <c r="G728">
        <v>5</v>
      </c>
      <c r="H728">
        <v>78.400000000000006</v>
      </c>
      <c r="I728">
        <v>0.71</v>
      </c>
      <c r="J728" t="s">
        <v>18</v>
      </c>
      <c r="K728">
        <v>38</v>
      </c>
      <c r="L728">
        <v>50</v>
      </c>
      <c r="M728">
        <v>0.96</v>
      </c>
      <c r="N728">
        <v>13</v>
      </c>
      <c r="O728">
        <v>1</v>
      </c>
      <c r="P728" t="s">
        <v>19</v>
      </c>
    </row>
    <row r="729" spans="1:16" x14ac:dyDescent="0.35">
      <c r="A729" t="s">
        <v>755</v>
      </c>
      <c r="B729">
        <v>728</v>
      </c>
      <c r="C729">
        <v>20</v>
      </c>
      <c r="D729" t="s">
        <v>16</v>
      </c>
      <c r="E729" t="s">
        <v>46</v>
      </c>
      <c r="F729">
        <v>2.36</v>
      </c>
      <c r="G729">
        <v>6</v>
      </c>
      <c r="H729">
        <v>63.1</v>
      </c>
      <c r="I729">
        <v>0.93</v>
      </c>
      <c r="J729" t="s">
        <v>28</v>
      </c>
      <c r="K729">
        <v>23</v>
      </c>
      <c r="L729">
        <v>47</v>
      </c>
      <c r="M729">
        <v>0.92</v>
      </c>
      <c r="N729">
        <v>1</v>
      </c>
      <c r="O729">
        <v>0.52</v>
      </c>
      <c r="P729" t="s">
        <v>19</v>
      </c>
    </row>
    <row r="730" spans="1:16" x14ac:dyDescent="0.35">
      <c r="A730" t="s">
        <v>756</v>
      </c>
      <c r="B730">
        <v>729</v>
      </c>
      <c r="C730">
        <v>22</v>
      </c>
      <c r="D730" t="s">
        <v>21</v>
      </c>
      <c r="E730" t="s">
        <v>17</v>
      </c>
      <c r="F730">
        <v>3.49</v>
      </c>
      <c r="G730">
        <v>5</v>
      </c>
      <c r="H730">
        <v>86.8</v>
      </c>
      <c r="I730">
        <v>0.81</v>
      </c>
      <c r="J730" t="s">
        <v>23</v>
      </c>
      <c r="K730">
        <v>33</v>
      </c>
      <c r="L730">
        <v>28</v>
      </c>
      <c r="M730">
        <v>0.74</v>
      </c>
      <c r="N730">
        <v>19</v>
      </c>
      <c r="O730">
        <v>0.72</v>
      </c>
      <c r="P730" t="s">
        <v>24</v>
      </c>
    </row>
    <row r="731" spans="1:16" x14ac:dyDescent="0.35">
      <c r="A731" t="s">
        <v>757</v>
      </c>
      <c r="B731">
        <v>730</v>
      </c>
      <c r="C731">
        <v>21</v>
      </c>
      <c r="D731" t="s">
        <v>21</v>
      </c>
      <c r="E731" t="s">
        <v>30</v>
      </c>
      <c r="F731">
        <v>3.7</v>
      </c>
      <c r="G731">
        <v>5</v>
      </c>
      <c r="H731">
        <v>92.9</v>
      </c>
      <c r="I731">
        <v>0.78</v>
      </c>
      <c r="J731" t="s">
        <v>18</v>
      </c>
      <c r="K731">
        <v>38</v>
      </c>
      <c r="L731">
        <v>23</v>
      </c>
      <c r="M731">
        <v>0.96</v>
      </c>
      <c r="N731">
        <v>17</v>
      </c>
      <c r="O731">
        <v>0.73</v>
      </c>
      <c r="P731" t="s">
        <v>24</v>
      </c>
    </row>
    <row r="732" spans="1:16" x14ac:dyDescent="0.35">
      <c r="A732" t="s">
        <v>758</v>
      </c>
      <c r="B732">
        <v>731</v>
      </c>
      <c r="C732">
        <v>20</v>
      </c>
      <c r="D732" t="s">
        <v>32</v>
      </c>
      <c r="E732" t="s">
        <v>30</v>
      </c>
      <c r="F732">
        <v>3.09</v>
      </c>
      <c r="G732">
        <v>5</v>
      </c>
      <c r="H732">
        <v>69.8</v>
      </c>
      <c r="I732">
        <v>0.73</v>
      </c>
      <c r="J732" t="s">
        <v>23</v>
      </c>
      <c r="K732">
        <v>4</v>
      </c>
      <c r="L732">
        <v>30</v>
      </c>
      <c r="M732">
        <v>0.98</v>
      </c>
      <c r="N732">
        <v>13</v>
      </c>
      <c r="O732">
        <v>0.65</v>
      </c>
      <c r="P732" t="s">
        <v>19</v>
      </c>
    </row>
    <row r="733" spans="1:16" x14ac:dyDescent="0.35">
      <c r="A733" t="s">
        <v>759</v>
      </c>
      <c r="B733">
        <v>732</v>
      </c>
      <c r="C733">
        <v>18</v>
      </c>
      <c r="D733" t="s">
        <v>16</v>
      </c>
      <c r="E733" t="s">
        <v>46</v>
      </c>
      <c r="F733">
        <v>3.96</v>
      </c>
      <c r="G733">
        <v>5</v>
      </c>
      <c r="H733">
        <v>76.900000000000006</v>
      </c>
      <c r="I733">
        <v>0.83</v>
      </c>
      <c r="J733" t="s">
        <v>18</v>
      </c>
      <c r="K733">
        <v>14</v>
      </c>
      <c r="L733">
        <v>24</v>
      </c>
      <c r="M733">
        <v>0.75</v>
      </c>
      <c r="N733">
        <v>17</v>
      </c>
      <c r="O733">
        <v>0.79</v>
      </c>
      <c r="P733" t="s">
        <v>24</v>
      </c>
    </row>
    <row r="734" spans="1:16" x14ac:dyDescent="0.35">
      <c r="A734" t="s">
        <v>760</v>
      </c>
      <c r="B734">
        <v>733</v>
      </c>
      <c r="C734">
        <v>18</v>
      </c>
      <c r="D734" t="s">
        <v>32</v>
      </c>
      <c r="E734" t="s">
        <v>46</v>
      </c>
      <c r="F734">
        <v>2.9</v>
      </c>
      <c r="G734">
        <v>6</v>
      </c>
      <c r="H734">
        <v>93.6</v>
      </c>
      <c r="I734">
        <v>0.89</v>
      </c>
      <c r="J734" t="s">
        <v>28</v>
      </c>
      <c r="K734">
        <v>3</v>
      </c>
      <c r="L734">
        <v>12</v>
      </c>
      <c r="M734">
        <v>0.59</v>
      </c>
      <c r="N734">
        <v>1</v>
      </c>
      <c r="O734">
        <v>0.56999999999999995</v>
      </c>
      <c r="P734" t="s">
        <v>24</v>
      </c>
    </row>
    <row r="735" spans="1:16" x14ac:dyDescent="0.35">
      <c r="A735" t="s">
        <v>761</v>
      </c>
      <c r="B735">
        <v>734</v>
      </c>
      <c r="C735">
        <v>25</v>
      </c>
      <c r="D735" t="s">
        <v>16</v>
      </c>
      <c r="E735" t="s">
        <v>30</v>
      </c>
      <c r="F735">
        <v>3.03</v>
      </c>
      <c r="G735">
        <v>4</v>
      </c>
      <c r="H735">
        <v>95.1</v>
      </c>
      <c r="I735">
        <v>0.76</v>
      </c>
      <c r="J735" t="s">
        <v>23</v>
      </c>
      <c r="K735">
        <v>38</v>
      </c>
      <c r="L735">
        <v>46</v>
      </c>
      <c r="M735">
        <v>0.83</v>
      </c>
      <c r="N735">
        <v>0</v>
      </c>
      <c r="O735">
        <v>0.89</v>
      </c>
      <c r="P735" t="s">
        <v>24</v>
      </c>
    </row>
    <row r="736" spans="1:16" x14ac:dyDescent="0.35">
      <c r="A736" t="s">
        <v>762</v>
      </c>
      <c r="B736">
        <v>735</v>
      </c>
      <c r="C736">
        <v>19</v>
      </c>
      <c r="D736" t="s">
        <v>21</v>
      </c>
      <c r="E736" t="s">
        <v>17</v>
      </c>
      <c r="F736">
        <v>3.98</v>
      </c>
      <c r="G736">
        <v>3</v>
      </c>
      <c r="H736">
        <v>69.7</v>
      </c>
      <c r="I736">
        <v>0.85</v>
      </c>
      <c r="J736" t="s">
        <v>28</v>
      </c>
      <c r="K736">
        <v>7</v>
      </c>
      <c r="L736">
        <v>55</v>
      </c>
      <c r="M736">
        <v>0.99</v>
      </c>
      <c r="N736">
        <v>19</v>
      </c>
      <c r="O736">
        <v>0.67</v>
      </c>
      <c r="P736" t="s">
        <v>41</v>
      </c>
    </row>
    <row r="737" spans="1:16" x14ac:dyDescent="0.35">
      <c r="A737" t="s">
        <v>763</v>
      </c>
      <c r="B737">
        <v>736</v>
      </c>
      <c r="C737">
        <v>20</v>
      </c>
      <c r="D737" t="s">
        <v>32</v>
      </c>
      <c r="E737" t="s">
        <v>30</v>
      </c>
      <c r="F737">
        <v>2.46</v>
      </c>
      <c r="G737">
        <v>5</v>
      </c>
      <c r="H737">
        <v>82</v>
      </c>
      <c r="I737">
        <v>0.88</v>
      </c>
      <c r="J737" t="s">
        <v>18</v>
      </c>
      <c r="K737">
        <v>23</v>
      </c>
      <c r="L737">
        <v>25</v>
      </c>
      <c r="M737">
        <v>0.94</v>
      </c>
      <c r="N737">
        <v>1</v>
      </c>
      <c r="O737">
        <v>0.8</v>
      </c>
      <c r="P737" t="s">
        <v>19</v>
      </c>
    </row>
    <row r="738" spans="1:16" x14ac:dyDescent="0.35">
      <c r="A738" t="s">
        <v>764</v>
      </c>
      <c r="B738">
        <v>737</v>
      </c>
      <c r="C738">
        <v>21</v>
      </c>
      <c r="D738" t="s">
        <v>32</v>
      </c>
      <c r="E738" t="s">
        <v>22</v>
      </c>
      <c r="F738">
        <v>3.89</v>
      </c>
      <c r="G738">
        <v>4</v>
      </c>
      <c r="H738">
        <v>67.7</v>
      </c>
      <c r="I738">
        <v>0.88</v>
      </c>
      <c r="J738" t="s">
        <v>18</v>
      </c>
      <c r="K738">
        <v>27</v>
      </c>
      <c r="L738">
        <v>23</v>
      </c>
      <c r="M738">
        <v>0.93</v>
      </c>
      <c r="N738">
        <v>8</v>
      </c>
      <c r="O738">
        <v>0.86</v>
      </c>
      <c r="P738" t="s">
        <v>41</v>
      </c>
    </row>
    <row r="739" spans="1:16" x14ac:dyDescent="0.35">
      <c r="A739" t="s">
        <v>765</v>
      </c>
      <c r="B739">
        <v>738</v>
      </c>
      <c r="C739">
        <v>22</v>
      </c>
      <c r="D739" t="s">
        <v>16</v>
      </c>
      <c r="E739" t="s">
        <v>22</v>
      </c>
      <c r="F739">
        <v>2.09</v>
      </c>
      <c r="G739">
        <v>5</v>
      </c>
      <c r="H739">
        <v>64.099999999999994</v>
      </c>
      <c r="I739">
        <v>0.62</v>
      </c>
      <c r="J739" t="s">
        <v>18</v>
      </c>
      <c r="K739">
        <v>26</v>
      </c>
      <c r="L739">
        <v>18</v>
      </c>
      <c r="M739">
        <v>0.97</v>
      </c>
      <c r="N739">
        <v>8</v>
      </c>
      <c r="O739">
        <v>0.94</v>
      </c>
      <c r="P739" t="s">
        <v>19</v>
      </c>
    </row>
    <row r="740" spans="1:16" x14ac:dyDescent="0.35">
      <c r="A740" t="s">
        <v>766</v>
      </c>
      <c r="B740">
        <v>739</v>
      </c>
      <c r="C740">
        <v>22</v>
      </c>
      <c r="D740" t="s">
        <v>21</v>
      </c>
      <c r="E740" t="s">
        <v>46</v>
      </c>
      <c r="F740">
        <v>2.89</v>
      </c>
      <c r="G740">
        <v>5</v>
      </c>
      <c r="H740">
        <v>96.4</v>
      </c>
      <c r="I740">
        <v>0.94</v>
      </c>
      <c r="J740" t="s">
        <v>18</v>
      </c>
      <c r="K740">
        <v>0</v>
      </c>
      <c r="L740">
        <v>16</v>
      </c>
      <c r="M740">
        <v>0.95</v>
      </c>
      <c r="N740">
        <v>15</v>
      </c>
      <c r="O740">
        <v>0.92</v>
      </c>
      <c r="P740" t="s">
        <v>24</v>
      </c>
    </row>
    <row r="741" spans="1:16" x14ac:dyDescent="0.35">
      <c r="A741" t="s">
        <v>767</v>
      </c>
      <c r="B741">
        <v>740</v>
      </c>
      <c r="C741">
        <v>21</v>
      </c>
      <c r="D741" t="s">
        <v>32</v>
      </c>
      <c r="E741" t="s">
        <v>17</v>
      </c>
      <c r="F741">
        <v>2.14</v>
      </c>
      <c r="G741">
        <v>3</v>
      </c>
      <c r="H741">
        <v>92.8</v>
      </c>
      <c r="I741">
        <v>0.78</v>
      </c>
      <c r="J741" t="s">
        <v>18</v>
      </c>
      <c r="K741">
        <v>33</v>
      </c>
      <c r="L741">
        <v>23</v>
      </c>
      <c r="M741">
        <v>0.89</v>
      </c>
      <c r="N741">
        <v>10</v>
      </c>
      <c r="O741">
        <v>0.8</v>
      </c>
      <c r="P741" t="s">
        <v>19</v>
      </c>
    </row>
    <row r="742" spans="1:16" x14ac:dyDescent="0.35">
      <c r="A742" t="s">
        <v>768</v>
      </c>
      <c r="B742">
        <v>741</v>
      </c>
      <c r="C742">
        <v>24</v>
      </c>
      <c r="D742" t="s">
        <v>21</v>
      </c>
      <c r="E742" t="s">
        <v>17</v>
      </c>
      <c r="F742">
        <v>3.46</v>
      </c>
      <c r="G742">
        <v>3</v>
      </c>
      <c r="H742">
        <v>90.4</v>
      </c>
      <c r="I742">
        <v>0.7</v>
      </c>
      <c r="J742" t="s">
        <v>23</v>
      </c>
      <c r="K742">
        <v>16</v>
      </c>
      <c r="L742">
        <v>15</v>
      </c>
      <c r="M742">
        <v>0.86</v>
      </c>
      <c r="N742">
        <v>5</v>
      </c>
      <c r="O742">
        <v>0.69</v>
      </c>
      <c r="P742" t="s">
        <v>19</v>
      </c>
    </row>
    <row r="743" spans="1:16" x14ac:dyDescent="0.35">
      <c r="A743" t="s">
        <v>769</v>
      </c>
      <c r="B743">
        <v>742</v>
      </c>
      <c r="C743">
        <v>23</v>
      </c>
      <c r="D743" t="s">
        <v>32</v>
      </c>
      <c r="E743" t="s">
        <v>22</v>
      </c>
      <c r="F743">
        <v>3.22</v>
      </c>
      <c r="G743">
        <v>3</v>
      </c>
      <c r="H743">
        <v>62</v>
      </c>
      <c r="I743">
        <v>0.7</v>
      </c>
      <c r="J743" t="s">
        <v>18</v>
      </c>
      <c r="K743">
        <v>36</v>
      </c>
      <c r="L743">
        <v>24</v>
      </c>
      <c r="M743">
        <v>0.63</v>
      </c>
      <c r="N743">
        <v>11</v>
      </c>
      <c r="O743">
        <v>0.75</v>
      </c>
      <c r="P743" t="s">
        <v>19</v>
      </c>
    </row>
    <row r="744" spans="1:16" x14ac:dyDescent="0.35">
      <c r="A744" t="s">
        <v>770</v>
      </c>
      <c r="B744">
        <v>743</v>
      </c>
      <c r="C744">
        <v>19</v>
      </c>
      <c r="D744" t="s">
        <v>21</v>
      </c>
      <c r="E744" t="s">
        <v>30</v>
      </c>
      <c r="F744">
        <v>3.41</v>
      </c>
      <c r="G744">
        <v>5</v>
      </c>
      <c r="H744">
        <v>93.7</v>
      </c>
      <c r="I744">
        <v>0.79</v>
      </c>
      <c r="J744" t="s">
        <v>28</v>
      </c>
      <c r="K744">
        <v>37</v>
      </c>
      <c r="L744">
        <v>61</v>
      </c>
      <c r="M744">
        <v>0.81</v>
      </c>
      <c r="N744">
        <v>2</v>
      </c>
      <c r="O744">
        <v>0.88</v>
      </c>
      <c r="P744" t="s">
        <v>24</v>
      </c>
    </row>
    <row r="745" spans="1:16" x14ac:dyDescent="0.35">
      <c r="A745" t="s">
        <v>771</v>
      </c>
      <c r="B745">
        <v>744</v>
      </c>
      <c r="C745">
        <v>22</v>
      </c>
      <c r="D745" t="s">
        <v>16</v>
      </c>
      <c r="E745" t="s">
        <v>46</v>
      </c>
      <c r="F745">
        <v>2.75</v>
      </c>
      <c r="G745">
        <v>5</v>
      </c>
      <c r="H745">
        <v>77.5</v>
      </c>
      <c r="I745">
        <v>0.95</v>
      </c>
      <c r="J745" t="s">
        <v>23</v>
      </c>
      <c r="K745">
        <v>25</v>
      </c>
      <c r="L745">
        <v>81</v>
      </c>
      <c r="M745">
        <v>0.76</v>
      </c>
      <c r="N745">
        <v>11</v>
      </c>
      <c r="O745">
        <v>0.94</v>
      </c>
      <c r="P745" t="s">
        <v>24</v>
      </c>
    </row>
    <row r="746" spans="1:16" x14ac:dyDescent="0.35">
      <c r="A746" t="s">
        <v>772</v>
      </c>
      <c r="B746">
        <v>745</v>
      </c>
      <c r="C746">
        <v>20</v>
      </c>
      <c r="D746" t="s">
        <v>32</v>
      </c>
      <c r="E746" t="s">
        <v>30</v>
      </c>
      <c r="F746">
        <v>2.74</v>
      </c>
      <c r="G746">
        <v>5</v>
      </c>
      <c r="H746">
        <v>73.7</v>
      </c>
      <c r="I746">
        <v>0.75</v>
      </c>
      <c r="J746" t="s">
        <v>28</v>
      </c>
      <c r="K746">
        <v>23</v>
      </c>
      <c r="L746">
        <v>43</v>
      </c>
      <c r="M746">
        <v>0.93</v>
      </c>
      <c r="N746">
        <v>0</v>
      </c>
      <c r="O746">
        <v>0.55000000000000004</v>
      </c>
      <c r="P746" t="s">
        <v>24</v>
      </c>
    </row>
    <row r="747" spans="1:16" x14ac:dyDescent="0.35">
      <c r="A747" t="s">
        <v>773</v>
      </c>
      <c r="B747">
        <v>746</v>
      </c>
      <c r="C747">
        <v>19</v>
      </c>
      <c r="D747" t="s">
        <v>32</v>
      </c>
      <c r="E747" t="s">
        <v>30</v>
      </c>
      <c r="F747">
        <v>2.09</v>
      </c>
      <c r="G747">
        <v>3</v>
      </c>
      <c r="H747">
        <v>81.900000000000006</v>
      </c>
      <c r="I747">
        <v>0.9</v>
      </c>
      <c r="J747" t="s">
        <v>18</v>
      </c>
      <c r="K747">
        <v>38</v>
      </c>
      <c r="L747">
        <v>10</v>
      </c>
      <c r="M747">
        <v>0.75</v>
      </c>
      <c r="N747">
        <v>8</v>
      </c>
      <c r="O747">
        <v>0.69</v>
      </c>
      <c r="P747" t="s">
        <v>19</v>
      </c>
    </row>
    <row r="748" spans="1:16" x14ac:dyDescent="0.35">
      <c r="A748" t="s">
        <v>774</v>
      </c>
      <c r="B748">
        <v>747</v>
      </c>
      <c r="C748">
        <v>20</v>
      </c>
      <c r="D748" t="s">
        <v>21</v>
      </c>
      <c r="E748" t="s">
        <v>30</v>
      </c>
      <c r="F748">
        <v>2.7</v>
      </c>
      <c r="G748">
        <v>6</v>
      </c>
      <c r="H748">
        <v>63.7</v>
      </c>
      <c r="I748">
        <v>0.64</v>
      </c>
      <c r="J748" t="s">
        <v>28</v>
      </c>
      <c r="K748">
        <v>20</v>
      </c>
      <c r="L748">
        <v>78</v>
      </c>
      <c r="M748">
        <v>0.56000000000000005</v>
      </c>
      <c r="N748">
        <v>19</v>
      </c>
      <c r="O748">
        <v>0.89</v>
      </c>
      <c r="P748" t="s">
        <v>19</v>
      </c>
    </row>
    <row r="749" spans="1:16" x14ac:dyDescent="0.35">
      <c r="A749" t="s">
        <v>775</v>
      </c>
      <c r="B749">
        <v>748</v>
      </c>
      <c r="C749">
        <v>24</v>
      </c>
      <c r="D749" t="s">
        <v>21</v>
      </c>
      <c r="E749" t="s">
        <v>17</v>
      </c>
      <c r="F749">
        <v>3.86</v>
      </c>
      <c r="G749">
        <v>4</v>
      </c>
      <c r="H749">
        <v>90.3</v>
      </c>
      <c r="I749">
        <v>0.79</v>
      </c>
      <c r="J749" t="s">
        <v>23</v>
      </c>
      <c r="K749">
        <v>29</v>
      </c>
      <c r="L749">
        <v>29</v>
      </c>
      <c r="M749">
        <v>0.5</v>
      </c>
      <c r="N749">
        <v>5</v>
      </c>
      <c r="O749">
        <v>0.72</v>
      </c>
      <c r="P749" t="s">
        <v>24</v>
      </c>
    </row>
    <row r="750" spans="1:16" x14ac:dyDescent="0.35">
      <c r="A750" t="s">
        <v>776</v>
      </c>
      <c r="B750">
        <v>749</v>
      </c>
      <c r="C750">
        <v>18</v>
      </c>
      <c r="D750" t="s">
        <v>32</v>
      </c>
      <c r="E750" t="s">
        <v>22</v>
      </c>
      <c r="F750">
        <v>2.76</v>
      </c>
      <c r="G750">
        <v>6</v>
      </c>
      <c r="H750">
        <v>83.3</v>
      </c>
      <c r="I750">
        <v>1</v>
      </c>
      <c r="J750" t="s">
        <v>23</v>
      </c>
      <c r="K750">
        <v>12</v>
      </c>
      <c r="L750">
        <v>89</v>
      </c>
      <c r="M750">
        <v>0.84</v>
      </c>
      <c r="N750">
        <v>10</v>
      </c>
      <c r="O750">
        <v>0.67</v>
      </c>
      <c r="P750" t="s">
        <v>24</v>
      </c>
    </row>
    <row r="751" spans="1:16" x14ac:dyDescent="0.35">
      <c r="A751" t="s">
        <v>777</v>
      </c>
      <c r="B751">
        <v>750</v>
      </c>
      <c r="C751">
        <v>19</v>
      </c>
      <c r="D751" t="s">
        <v>16</v>
      </c>
      <c r="E751" t="s">
        <v>17</v>
      </c>
      <c r="F751">
        <v>3.66</v>
      </c>
      <c r="G751">
        <v>5</v>
      </c>
      <c r="H751">
        <v>67.5</v>
      </c>
      <c r="I751">
        <v>0.91</v>
      </c>
      <c r="J751" t="s">
        <v>23</v>
      </c>
      <c r="K751">
        <v>36</v>
      </c>
      <c r="L751">
        <v>16</v>
      </c>
      <c r="M751">
        <v>0.77</v>
      </c>
      <c r="N751">
        <v>2</v>
      </c>
      <c r="O751">
        <v>0.71</v>
      </c>
      <c r="P751" t="s">
        <v>41</v>
      </c>
    </row>
    <row r="752" spans="1:16" x14ac:dyDescent="0.35">
      <c r="A752" t="s">
        <v>778</v>
      </c>
      <c r="B752">
        <v>751</v>
      </c>
      <c r="C752">
        <v>25</v>
      </c>
      <c r="D752" t="s">
        <v>21</v>
      </c>
      <c r="E752" t="s">
        <v>22</v>
      </c>
      <c r="F752">
        <v>3.68</v>
      </c>
      <c r="G752">
        <v>5</v>
      </c>
      <c r="H752">
        <v>67.5</v>
      </c>
      <c r="I752">
        <v>0.68</v>
      </c>
      <c r="J752" t="s">
        <v>28</v>
      </c>
      <c r="K752">
        <v>2</v>
      </c>
      <c r="L752">
        <v>16</v>
      </c>
      <c r="M752">
        <v>0.67</v>
      </c>
      <c r="N752">
        <v>3</v>
      </c>
      <c r="O752">
        <v>0.8</v>
      </c>
      <c r="P752" t="s">
        <v>19</v>
      </c>
    </row>
    <row r="753" spans="1:16" x14ac:dyDescent="0.35">
      <c r="A753" t="s">
        <v>779</v>
      </c>
      <c r="B753">
        <v>752</v>
      </c>
      <c r="C753">
        <v>22</v>
      </c>
      <c r="D753" t="s">
        <v>21</v>
      </c>
      <c r="E753" t="s">
        <v>46</v>
      </c>
      <c r="F753">
        <v>2.75</v>
      </c>
      <c r="G753">
        <v>6</v>
      </c>
      <c r="H753">
        <v>67.400000000000006</v>
      </c>
      <c r="I753">
        <v>0.8</v>
      </c>
      <c r="J753" t="s">
        <v>23</v>
      </c>
      <c r="K753">
        <v>31</v>
      </c>
      <c r="L753">
        <v>59</v>
      </c>
      <c r="M753">
        <v>0.57999999999999996</v>
      </c>
      <c r="N753">
        <v>9</v>
      </c>
      <c r="O753">
        <v>1</v>
      </c>
      <c r="P753" t="s">
        <v>24</v>
      </c>
    </row>
    <row r="754" spans="1:16" x14ac:dyDescent="0.35">
      <c r="A754" t="s">
        <v>780</v>
      </c>
      <c r="B754">
        <v>753</v>
      </c>
      <c r="C754">
        <v>19</v>
      </c>
      <c r="D754" t="s">
        <v>21</v>
      </c>
      <c r="E754" t="s">
        <v>46</v>
      </c>
      <c r="F754">
        <v>3.26</v>
      </c>
      <c r="G754">
        <v>5</v>
      </c>
      <c r="H754">
        <v>62.3</v>
      </c>
      <c r="I754">
        <v>0.69</v>
      </c>
      <c r="J754" t="s">
        <v>28</v>
      </c>
      <c r="K754">
        <v>34</v>
      </c>
      <c r="L754">
        <v>11</v>
      </c>
      <c r="M754">
        <v>0.73</v>
      </c>
      <c r="N754">
        <v>18</v>
      </c>
      <c r="O754">
        <v>0.75</v>
      </c>
      <c r="P754" t="s">
        <v>19</v>
      </c>
    </row>
    <row r="755" spans="1:16" x14ac:dyDescent="0.35">
      <c r="A755" t="s">
        <v>781</v>
      </c>
      <c r="B755">
        <v>754</v>
      </c>
      <c r="C755">
        <v>19</v>
      </c>
      <c r="D755" t="s">
        <v>32</v>
      </c>
      <c r="E755" t="s">
        <v>30</v>
      </c>
      <c r="F755">
        <v>2.19</v>
      </c>
      <c r="G755">
        <v>4</v>
      </c>
      <c r="H755">
        <v>83.5</v>
      </c>
      <c r="I755">
        <v>0.76</v>
      </c>
      <c r="J755" t="s">
        <v>18</v>
      </c>
      <c r="K755">
        <v>18</v>
      </c>
      <c r="L755">
        <v>56</v>
      </c>
      <c r="M755">
        <v>0.55000000000000004</v>
      </c>
      <c r="N755">
        <v>5</v>
      </c>
      <c r="O755">
        <v>0.6</v>
      </c>
      <c r="P755" t="s">
        <v>19</v>
      </c>
    </row>
    <row r="756" spans="1:16" x14ac:dyDescent="0.35">
      <c r="A756" t="s">
        <v>782</v>
      </c>
      <c r="B756">
        <v>755</v>
      </c>
      <c r="C756">
        <v>19</v>
      </c>
      <c r="D756" t="s">
        <v>32</v>
      </c>
      <c r="E756" t="s">
        <v>22</v>
      </c>
      <c r="F756">
        <v>2.21</v>
      </c>
      <c r="G756">
        <v>5</v>
      </c>
      <c r="H756">
        <v>93.6</v>
      </c>
      <c r="I756">
        <v>0.91</v>
      </c>
      <c r="J756" t="s">
        <v>18</v>
      </c>
      <c r="K756">
        <v>13</v>
      </c>
      <c r="L756">
        <v>23</v>
      </c>
      <c r="M756">
        <v>0.67</v>
      </c>
      <c r="N756">
        <v>0</v>
      </c>
      <c r="O756">
        <v>0.57999999999999996</v>
      </c>
      <c r="P756" t="s">
        <v>19</v>
      </c>
    </row>
    <row r="757" spans="1:16" x14ac:dyDescent="0.35">
      <c r="A757" t="s">
        <v>783</v>
      </c>
      <c r="B757">
        <v>756</v>
      </c>
      <c r="C757">
        <v>23</v>
      </c>
      <c r="D757" t="s">
        <v>32</v>
      </c>
      <c r="E757" t="s">
        <v>22</v>
      </c>
      <c r="F757">
        <v>2.1</v>
      </c>
      <c r="G757">
        <v>4</v>
      </c>
      <c r="H757">
        <v>60.7</v>
      </c>
      <c r="I757">
        <v>0.91</v>
      </c>
      <c r="J757" t="s">
        <v>28</v>
      </c>
      <c r="K757">
        <v>21</v>
      </c>
      <c r="L757">
        <v>40</v>
      </c>
      <c r="M757">
        <v>0.69</v>
      </c>
      <c r="N757">
        <v>7</v>
      </c>
      <c r="O757">
        <v>0.52</v>
      </c>
      <c r="P757" t="s">
        <v>19</v>
      </c>
    </row>
    <row r="758" spans="1:16" x14ac:dyDescent="0.35">
      <c r="A758" t="s">
        <v>784</v>
      </c>
      <c r="B758">
        <v>757</v>
      </c>
      <c r="C758">
        <v>19</v>
      </c>
      <c r="D758" t="s">
        <v>32</v>
      </c>
      <c r="E758" t="s">
        <v>22</v>
      </c>
      <c r="F758">
        <v>3.16</v>
      </c>
      <c r="G758">
        <v>6</v>
      </c>
      <c r="H758">
        <v>62</v>
      </c>
      <c r="I758">
        <v>0.69</v>
      </c>
      <c r="J758" t="s">
        <v>23</v>
      </c>
      <c r="K758">
        <v>16</v>
      </c>
      <c r="L758">
        <v>59</v>
      </c>
      <c r="M758">
        <v>0.73</v>
      </c>
      <c r="N758">
        <v>7</v>
      </c>
      <c r="O758">
        <v>0.78</v>
      </c>
      <c r="P758" t="s">
        <v>19</v>
      </c>
    </row>
    <row r="759" spans="1:16" x14ac:dyDescent="0.35">
      <c r="A759" t="s">
        <v>785</v>
      </c>
      <c r="B759">
        <v>758</v>
      </c>
      <c r="C759">
        <v>20</v>
      </c>
      <c r="D759" t="s">
        <v>16</v>
      </c>
      <c r="E759" t="s">
        <v>30</v>
      </c>
      <c r="F759">
        <v>2.85</v>
      </c>
      <c r="G759">
        <v>6</v>
      </c>
      <c r="H759">
        <v>82.9</v>
      </c>
      <c r="I759">
        <v>0.97</v>
      </c>
      <c r="J759" t="s">
        <v>28</v>
      </c>
      <c r="K759">
        <v>3</v>
      </c>
      <c r="L759">
        <v>70</v>
      </c>
      <c r="M759">
        <v>0.73</v>
      </c>
      <c r="N759">
        <v>5</v>
      </c>
      <c r="O759">
        <v>0.77</v>
      </c>
      <c r="P759" t="s">
        <v>24</v>
      </c>
    </row>
    <row r="760" spans="1:16" x14ac:dyDescent="0.35">
      <c r="A760" t="s">
        <v>786</v>
      </c>
      <c r="B760">
        <v>759</v>
      </c>
      <c r="C760">
        <v>18</v>
      </c>
      <c r="D760" t="s">
        <v>16</v>
      </c>
      <c r="E760" t="s">
        <v>30</v>
      </c>
      <c r="F760">
        <v>3.1</v>
      </c>
      <c r="G760">
        <v>5</v>
      </c>
      <c r="H760">
        <v>92.8</v>
      </c>
      <c r="I760">
        <v>0.84</v>
      </c>
      <c r="J760" t="s">
        <v>28</v>
      </c>
      <c r="K760">
        <v>39</v>
      </c>
      <c r="L760">
        <v>50</v>
      </c>
      <c r="M760">
        <v>0.63</v>
      </c>
      <c r="N760">
        <v>16</v>
      </c>
      <c r="O760">
        <v>0.6</v>
      </c>
      <c r="P760" t="s">
        <v>24</v>
      </c>
    </row>
    <row r="761" spans="1:16" x14ac:dyDescent="0.35">
      <c r="A761" t="s">
        <v>787</v>
      </c>
      <c r="B761">
        <v>760</v>
      </c>
      <c r="C761">
        <v>24</v>
      </c>
      <c r="D761" t="s">
        <v>32</v>
      </c>
      <c r="E761" t="s">
        <v>46</v>
      </c>
      <c r="F761">
        <v>3.04</v>
      </c>
      <c r="G761">
        <v>4</v>
      </c>
      <c r="H761">
        <v>73.099999999999994</v>
      </c>
      <c r="I761">
        <v>0.75</v>
      </c>
      <c r="J761" t="s">
        <v>28</v>
      </c>
      <c r="K761">
        <v>18</v>
      </c>
      <c r="L761">
        <v>23</v>
      </c>
      <c r="M761">
        <v>0.93</v>
      </c>
      <c r="N761">
        <v>18</v>
      </c>
      <c r="O761">
        <v>0.85</v>
      </c>
      <c r="P761" t="s">
        <v>24</v>
      </c>
    </row>
    <row r="762" spans="1:16" x14ac:dyDescent="0.35">
      <c r="A762" t="s">
        <v>788</v>
      </c>
      <c r="B762">
        <v>761</v>
      </c>
      <c r="C762">
        <v>21</v>
      </c>
      <c r="D762" t="s">
        <v>16</v>
      </c>
      <c r="E762" t="s">
        <v>17</v>
      </c>
      <c r="F762">
        <v>2.7</v>
      </c>
      <c r="G762">
        <v>5</v>
      </c>
      <c r="H762">
        <v>74</v>
      </c>
      <c r="I762">
        <v>0.8</v>
      </c>
      <c r="J762" t="s">
        <v>18</v>
      </c>
      <c r="K762">
        <v>36</v>
      </c>
      <c r="L762">
        <v>14</v>
      </c>
      <c r="M762">
        <v>0.68</v>
      </c>
      <c r="N762">
        <v>0</v>
      </c>
      <c r="O762">
        <v>0.87</v>
      </c>
      <c r="P762" t="s">
        <v>24</v>
      </c>
    </row>
    <row r="763" spans="1:16" x14ac:dyDescent="0.35">
      <c r="A763" t="s">
        <v>789</v>
      </c>
      <c r="B763">
        <v>762</v>
      </c>
      <c r="C763">
        <v>19</v>
      </c>
      <c r="D763" t="s">
        <v>21</v>
      </c>
      <c r="E763" t="s">
        <v>22</v>
      </c>
      <c r="F763">
        <v>3.35</v>
      </c>
      <c r="G763">
        <v>3</v>
      </c>
      <c r="H763">
        <v>83.9</v>
      </c>
      <c r="I763">
        <v>0.84</v>
      </c>
      <c r="J763" t="s">
        <v>28</v>
      </c>
      <c r="K763">
        <v>1</v>
      </c>
      <c r="L763">
        <v>84</v>
      </c>
      <c r="M763">
        <v>0.61</v>
      </c>
      <c r="N763">
        <v>14</v>
      </c>
      <c r="O763">
        <v>0.63</v>
      </c>
      <c r="P763" t="s">
        <v>24</v>
      </c>
    </row>
    <row r="764" spans="1:16" x14ac:dyDescent="0.35">
      <c r="A764" t="s">
        <v>790</v>
      </c>
      <c r="B764">
        <v>763</v>
      </c>
      <c r="C764">
        <v>22</v>
      </c>
      <c r="D764" t="s">
        <v>21</v>
      </c>
      <c r="E764" t="s">
        <v>22</v>
      </c>
      <c r="F764">
        <v>3.52</v>
      </c>
      <c r="G764">
        <v>3</v>
      </c>
      <c r="H764">
        <v>71</v>
      </c>
      <c r="I764">
        <v>0.82</v>
      </c>
      <c r="J764" t="s">
        <v>18</v>
      </c>
      <c r="K764">
        <v>14</v>
      </c>
      <c r="L764">
        <v>14</v>
      </c>
      <c r="M764">
        <v>0.59</v>
      </c>
      <c r="N764">
        <v>12</v>
      </c>
      <c r="O764">
        <v>0.67</v>
      </c>
      <c r="P764" t="s">
        <v>24</v>
      </c>
    </row>
    <row r="765" spans="1:16" x14ac:dyDescent="0.35">
      <c r="A765" t="s">
        <v>791</v>
      </c>
      <c r="B765">
        <v>764</v>
      </c>
      <c r="C765">
        <v>19</v>
      </c>
      <c r="D765" t="s">
        <v>21</v>
      </c>
      <c r="E765" t="s">
        <v>17</v>
      </c>
      <c r="F765">
        <v>2.0299999999999998</v>
      </c>
      <c r="G765">
        <v>3</v>
      </c>
      <c r="H765">
        <v>61.1</v>
      </c>
      <c r="I765">
        <v>0.79</v>
      </c>
      <c r="J765" t="s">
        <v>28</v>
      </c>
      <c r="K765">
        <v>1</v>
      </c>
      <c r="L765">
        <v>73</v>
      </c>
      <c r="M765">
        <v>0.66</v>
      </c>
      <c r="N765">
        <v>2</v>
      </c>
      <c r="O765">
        <v>1</v>
      </c>
      <c r="P765" t="s">
        <v>19</v>
      </c>
    </row>
    <row r="766" spans="1:16" x14ac:dyDescent="0.35">
      <c r="A766" t="s">
        <v>792</v>
      </c>
      <c r="B766">
        <v>765</v>
      </c>
      <c r="C766">
        <v>22</v>
      </c>
      <c r="D766" t="s">
        <v>32</v>
      </c>
      <c r="E766" t="s">
        <v>22</v>
      </c>
      <c r="F766">
        <v>2.41</v>
      </c>
      <c r="G766">
        <v>3</v>
      </c>
      <c r="H766">
        <v>89.4</v>
      </c>
      <c r="I766">
        <v>0.8</v>
      </c>
      <c r="J766" t="s">
        <v>18</v>
      </c>
      <c r="K766">
        <v>10</v>
      </c>
      <c r="L766">
        <v>38</v>
      </c>
      <c r="M766">
        <v>0.53</v>
      </c>
      <c r="N766">
        <v>1</v>
      </c>
      <c r="O766">
        <v>0.69</v>
      </c>
      <c r="P766" t="s">
        <v>19</v>
      </c>
    </row>
    <row r="767" spans="1:16" x14ac:dyDescent="0.35">
      <c r="A767" t="s">
        <v>793</v>
      </c>
      <c r="B767">
        <v>766</v>
      </c>
      <c r="C767">
        <v>20</v>
      </c>
      <c r="D767" t="s">
        <v>21</v>
      </c>
      <c r="E767" t="s">
        <v>30</v>
      </c>
      <c r="F767">
        <v>3.43</v>
      </c>
      <c r="G767">
        <v>5</v>
      </c>
      <c r="H767">
        <v>85</v>
      </c>
      <c r="I767">
        <v>0.67</v>
      </c>
      <c r="J767" t="s">
        <v>28</v>
      </c>
      <c r="K767">
        <v>22</v>
      </c>
      <c r="L767">
        <v>84</v>
      </c>
      <c r="M767">
        <v>0.52</v>
      </c>
      <c r="N767">
        <v>2</v>
      </c>
      <c r="O767">
        <v>0.88</v>
      </c>
      <c r="P767" t="s">
        <v>19</v>
      </c>
    </row>
    <row r="768" spans="1:16" x14ac:dyDescent="0.35">
      <c r="A768" t="s">
        <v>794</v>
      </c>
      <c r="B768">
        <v>767</v>
      </c>
      <c r="C768">
        <v>22</v>
      </c>
      <c r="D768" t="s">
        <v>16</v>
      </c>
      <c r="E768" t="s">
        <v>30</v>
      </c>
      <c r="F768">
        <v>2.77</v>
      </c>
      <c r="G768">
        <v>3</v>
      </c>
      <c r="H768">
        <v>83.2</v>
      </c>
      <c r="I768">
        <v>0.93</v>
      </c>
      <c r="J768" t="s">
        <v>28</v>
      </c>
      <c r="K768">
        <v>9</v>
      </c>
      <c r="L768">
        <v>14</v>
      </c>
      <c r="M768">
        <v>0.8</v>
      </c>
      <c r="N768">
        <v>8</v>
      </c>
      <c r="O768">
        <v>0.73</v>
      </c>
      <c r="P768" t="s">
        <v>24</v>
      </c>
    </row>
    <row r="769" spans="1:16" x14ac:dyDescent="0.35">
      <c r="A769" t="s">
        <v>795</v>
      </c>
      <c r="B769">
        <v>768</v>
      </c>
      <c r="C769">
        <v>25</v>
      </c>
      <c r="D769" t="s">
        <v>32</v>
      </c>
      <c r="E769" t="s">
        <v>22</v>
      </c>
      <c r="F769">
        <v>3.32</v>
      </c>
      <c r="G769">
        <v>4</v>
      </c>
      <c r="H769">
        <v>89.7</v>
      </c>
      <c r="I769">
        <v>0.82</v>
      </c>
      <c r="J769" t="s">
        <v>23</v>
      </c>
      <c r="K769">
        <v>2</v>
      </c>
      <c r="L769">
        <v>45</v>
      </c>
      <c r="M769">
        <v>0.81</v>
      </c>
      <c r="N769">
        <v>15</v>
      </c>
      <c r="O769">
        <v>0.9</v>
      </c>
      <c r="P769" t="s">
        <v>24</v>
      </c>
    </row>
    <row r="770" spans="1:16" x14ac:dyDescent="0.35">
      <c r="A770" t="s">
        <v>796</v>
      </c>
      <c r="B770">
        <v>769</v>
      </c>
      <c r="C770">
        <v>21</v>
      </c>
      <c r="D770" t="s">
        <v>16</v>
      </c>
      <c r="E770" t="s">
        <v>30</v>
      </c>
      <c r="F770">
        <v>2.69</v>
      </c>
      <c r="G770">
        <v>6</v>
      </c>
      <c r="H770">
        <v>87</v>
      </c>
      <c r="I770">
        <v>0.65</v>
      </c>
      <c r="J770" t="s">
        <v>23</v>
      </c>
      <c r="K770">
        <v>4</v>
      </c>
      <c r="L770">
        <v>88</v>
      </c>
      <c r="M770">
        <v>0.76</v>
      </c>
      <c r="N770">
        <v>12</v>
      </c>
      <c r="O770">
        <v>0.88</v>
      </c>
      <c r="P770" t="s">
        <v>19</v>
      </c>
    </row>
    <row r="771" spans="1:16" x14ac:dyDescent="0.35">
      <c r="A771" t="s">
        <v>797</v>
      </c>
      <c r="B771">
        <v>770</v>
      </c>
      <c r="C771">
        <v>18</v>
      </c>
      <c r="D771" t="s">
        <v>21</v>
      </c>
      <c r="E771" t="s">
        <v>30</v>
      </c>
      <c r="F771">
        <v>2.78</v>
      </c>
      <c r="G771">
        <v>6</v>
      </c>
      <c r="H771">
        <v>68.2</v>
      </c>
      <c r="I771">
        <v>0.91</v>
      </c>
      <c r="J771" t="s">
        <v>28</v>
      </c>
      <c r="K771">
        <v>2</v>
      </c>
      <c r="L771">
        <v>28</v>
      </c>
      <c r="M771">
        <v>0.88</v>
      </c>
      <c r="N771">
        <v>18</v>
      </c>
      <c r="O771">
        <v>0.83</v>
      </c>
      <c r="P771" t="s">
        <v>24</v>
      </c>
    </row>
    <row r="772" spans="1:16" x14ac:dyDescent="0.35">
      <c r="A772" t="s">
        <v>798</v>
      </c>
      <c r="B772">
        <v>771</v>
      </c>
      <c r="C772">
        <v>22</v>
      </c>
      <c r="D772" t="s">
        <v>21</v>
      </c>
      <c r="E772" t="s">
        <v>22</v>
      </c>
      <c r="F772">
        <v>2.3199999999999998</v>
      </c>
      <c r="G772">
        <v>3</v>
      </c>
      <c r="H772">
        <v>74.099999999999994</v>
      </c>
      <c r="I772">
        <v>0.97</v>
      </c>
      <c r="J772" t="s">
        <v>28</v>
      </c>
      <c r="K772">
        <v>37</v>
      </c>
      <c r="L772">
        <v>73</v>
      </c>
      <c r="M772">
        <v>0.52</v>
      </c>
      <c r="N772">
        <v>17</v>
      </c>
      <c r="O772">
        <v>0.93</v>
      </c>
      <c r="P772" t="s">
        <v>19</v>
      </c>
    </row>
    <row r="773" spans="1:16" x14ac:dyDescent="0.35">
      <c r="A773" t="s">
        <v>799</v>
      </c>
      <c r="B773">
        <v>772</v>
      </c>
      <c r="C773">
        <v>22</v>
      </c>
      <c r="D773" t="s">
        <v>21</v>
      </c>
      <c r="E773" t="s">
        <v>46</v>
      </c>
      <c r="F773">
        <v>2.52</v>
      </c>
      <c r="G773">
        <v>3</v>
      </c>
      <c r="H773">
        <v>65</v>
      </c>
      <c r="I773">
        <v>0.98</v>
      </c>
      <c r="J773" t="s">
        <v>28</v>
      </c>
      <c r="K773">
        <v>12</v>
      </c>
      <c r="L773">
        <v>31</v>
      </c>
      <c r="M773">
        <v>0.97</v>
      </c>
      <c r="N773">
        <v>11</v>
      </c>
      <c r="O773">
        <v>0.97</v>
      </c>
      <c r="P773" t="s">
        <v>24</v>
      </c>
    </row>
    <row r="774" spans="1:16" x14ac:dyDescent="0.35">
      <c r="A774" t="s">
        <v>800</v>
      </c>
      <c r="B774">
        <v>773</v>
      </c>
      <c r="C774">
        <v>18</v>
      </c>
      <c r="D774" t="s">
        <v>32</v>
      </c>
      <c r="E774" t="s">
        <v>17</v>
      </c>
      <c r="F774">
        <v>3.21</v>
      </c>
      <c r="G774">
        <v>3</v>
      </c>
      <c r="H774">
        <v>65.2</v>
      </c>
      <c r="I774">
        <v>0.75</v>
      </c>
      <c r="J774" t="s">
        <v>28</v>
      </c>
      <c r="K774">
        <v>18</v>
      </c>
      <c r="L774">
        <v>43</v>
      </c>
      <c r="M774">
        <v>0.55000000000000004</v>
      </c>
      <c r="N774">
        <v>11</v>
      </c>
      <c r="O774">
        <v>0.79</v>
      </c>
      <c r="P774" t="s">
        <v>24</v>
      </c>
    </row>
    <row r="775" spans="1:16" x14ac:dyDescent="0.35">
      <c r="A775" t="s">
        <v>801</v>
      </c>
      <c r="B775">
        <v>774</v>
      </c>
      <c r="C775">
        <v>21</v>
      </c>
      <c r="D775" t="s">
        <v>16</v>
      </c>
      <c r="E775" t="s">
        <v>30</v>
      </c>
      <c r="F775">
        <v>2.87</v>
      </c>
      <c r="G775">
        <v>5</v>
      </c>
      <c r="H775">
        <v>87</v>
      </c>
      <c r="I775">
        <v>0.65</v>
      </c>
      <c r="J775" t="s">
        <v>23</v>
      </c>
      <c r="K775">
        <v>39</v>
      </c>
      <c r="L775">
        <v>65</v>
      </c>
      <c r="M775">
        <v>0.84</v>
      </c>
      <c r="N775">
        <v>0</v>
      </c>
      <c r="O775">
        <v>0.62</v>
      </c>
      <c r="P775" t="s">
        <v>19</v>
      </c>
    </row>
    <row r="776" spans="1:16" x14ac:dyDescent="0.35">
      <c r="A776" t="s">
        <v>802</v>
      </c>
      <c r="B776">
        <v>775</v>
      </c>
      <c r="C776">
        <v>19</v>
      </c>
      <c r="D776" t="s">
        <v>32</v>
      </c>
      <c r="E776" t="s">
        <v>46</v>
      </c>
      <c r="F776">
        <v>3.55</v>
      </c>
      <c r="G776">
        <v>6</v>
      </c>
      <c r="H776">
        <v>94.3</v>
      </c>
      <c r="I776">
        <v>0.81</v>
      </c>
      <c r="J776" t="s">
        <v>18</v>
      </c>
      <c r="K776">
        <v>34</v>
      </c>
      <c r="L776">
        <v>26</v>
      </c>
      <c r="M776">
        <v>0.56999999999999995</v>
      </c>
      <c r="N776">
        <v>19</v>
      </c>
      <c r="O776">
        <v>0.7</v>
      </c>
      <c r="P776" t="s">
        <v>24</v>
      </c>
    </row>
    <row r="777" spans="1:16" x14ac:dyDescent="0.35">
      <c r="A777" t="s">
        <v>803</v>
      </c>
      <c r="B777">
        <v>776</v>
      </c>
      <c r="C777">
        <v>22</v>
      </c>
      <c r="D777" t="s">
        <v>32</v>
      </c>
      <c r="E777" t="s">
        <v>30</v>
      </c>
      <c r="F777">
        <v>3.71</v>
      </c>
      <c r="G777">
        <v>3</v>
      </c>
      <c r="H777">
        <v>98.5</v>
      </c>
      <c r="I777">
        <v>0.65</v>
      </c>
      <c r="J777" t="s">
        <v>28</v>
      </c>
      <c r="K777">
        <v>23</v>
      </c>
      <c r="L777">
        <v>85</v>
      </c>
      <c r="M777">
        <v>0.94</v>
      </c>
      <c r="N777">
        <v>7</v>
      </c>
      <c r="O777">
        <v>0.88</v>
      </c>
      <c r="P777" t="s">
        <v>19</v>
      </c>
    </row>
    <row r="778" spans="1:16" x14ac:dyDescent="0.35">
      <c r="A778" t="s">
        <v>804</v>
      </c>
      <c r="B778">
        <v>777</v>
      </c>
      <c r="C778">
        <v>18</v>
      </c>
      <c r="D778" t="s">
        <v>21</v>
      </c>
      <c r="E778" t="s">
        <v>30</v>
      </c>
      <c r="F778">
        <v>3.08</v>
      </c>
      <c r="G778">
        <v>4</v>
      </c>
      <c r="H778">
        <v>85.1</v>
      </c>
      <c r="I778">
        <v>0.97</v>
      </c>
      <c r="J778" t="s">
        <v>23</v>
      </c>
      <c r="K778">
        <v>23</v>
      </c>
      <c r="L778">
        <v>65</v>
      </c>
      <c r="M778">
        <v>0.76</v>
      </c>
      <c r="N778">
        <v>16</v>
      </c>
      <c r="O778">
        <v>0.83</v>
      </c>
      <c r="P778" t="s">
        <v>41</v>
      </c>
    </row>
    <row r="779" spans="1:16" x14ac:dyDescent="0.35">
      <c r="A779" t="s">
        <v>805</v>
      </c>
      <c r="B779">
        <v>778</v>
      </c>
      <c r="C779">
        <v>25</v>
      </c>
      <c r="D779" t="s">
        <v>32</v>
      </c>
      <c r="E779" t="s">
        <v>17</v>
      </c>
      <c r="F779">
        <v>3.52</v>
      </c>
      <c r="G779">
        <v>3</v>
      </c>
      <c r="H779">
        <v>67.400000000000006</v>
      </c>
      <c r="I779">
        <v>0.67</v>
      </c>
      <c r="J779" t="s">
        <v>28</v>
      </c>
      <c r="K779">
        <v>16</v>
      </c>
      <c r="L779">
        <v>26</v>
      </c>
      <c r="M779">
        <v>0.54</v>
      </c>
      <c r="N779">
        <v>19</v>
      </c>
      <c r="O779">
        <v>0.59</v>
      </c>
      <c r="P779" t="s">
        <v>19</v>
      </c>
    </row>
    <row r="780" spans="1:16" x14ac:dyDescent="0.35">
      <c r="A780" t="s">
        <v>806</v>
      </c>
      <c r="B780">
        <v>779</v>
      </c>
      <c r="C780">
        <v>25</v>
      </c>
      <c r="D780" t="s">
        <v>32</v>
      </c>
      <c r="E780" t="s">
        <v>30</v>
      </c>
      <c r="F780">
        <v>2.61</v>
      </c>
      <c r="G780">
        <v>6</v>
      </c>
      <c r="H780">
        <v>64.2</v>
      </c>
      <c r="I780">
        <v>0.7</v>
      </c>
      <c r="J780" t="s">
        <v>28</v>
      </c>
      <c r="K780">
        <v>39</v>
      </c>
      <c r="L780">
        <v>83</v>
      </c>
      <c r="M780">
        <v>0.81</v>
      </c>
      <c r="N780">
        <v>6</v>
      </c>
      <c r="O780">
        <v>0.53</v>
      </c>
      <c r="P780" t="s">
        <v>19</v>
      </c>
    </row>
    <row r="781" spans="1:16" x14ac:dyDescent="0.35">
      <c r="A781" t="s">
        <v>807</v>
      </c>
      <c r="B781">
        <v>780</v>
      </c>
      <c r="C781">
        <v>20</v>
      </c>
      <c r="D781" t="s">
        <v>21</v>
      </c>
      <c r="E781" t="s">
        <v>17</v>
      </c>
      <c r="F781">
        <v>2.83</v>
      </c>
      <c r="G781">
        <v>3</v>
      </c>
      <c r="H781">
        <v>92.5</v>
      </c>
      <c r="I781">
        <v>0.76</v>
      </c>
      <c r="J781" t="s">
        <v>18</v>
      </c>
      <c r="K781">
        <v>9</v>
      </c>
      <c r="L781">
        <v>27</v>
      </c>
      <c r="M781">
        <v>0.5</v>
      </c>
      <c r="N781">
        <v>8</v>
      </c>
      <c r="O781">
        <v>0.84</v>
      </c>
      <c r="P781" t="s">
        <v>24</v>
      </c>
    </row>
    <row r="782" spans="1:16" x14ac:dyDescent="0.35">
      <c r="A782" t="s">
        <v>808</v>
      </c>
      <c r="B782">
        <v>781</v>
      </c>
      <c r="C782">
        <v>18</v>
      </c>
      <c r="D782" t="s">
        <v>32</v>
      </c>
      <c r="E782" t="s">
        <v>17</v>
      </c>
      <c r="F782">
        <v>3.43</v>
      </c>
      <c r="G782">
        <v>6</v>
      </c>
      <c r="H782">
        <v>83.2</v>
      </c>
      <c r="I782">
        <v>0.75</v>
      </c>
      <c r="J782" t="s">
        <v>28</v>
      </c>
      <c r="K782">
        <v>1</v>
      </c>
      <c r="L782">
        <v>54</v>
      </c>
      <c r="M782">
        <v>0.89</v>
      </c>
      <c r="N782">
        <v>16</v>
      </c>
      <c r="O782">
        <v>0.63</v>
      </c>
      <c r="P782" t="s">
        <v>24</v>
      </c>
    </row>
    <row r="783" spans="1:16" x14ac:dyDescent="0.35">
      <c r="A783" t="s">
        <v>809</v>
      </c>
      <c r="B783">
        <v>782</v>
      </c>
      <c r="C783">
        <v>20</v>
      </c>
      <c r="D783" t="s">
        <v>21</v>
      </c>
      <c r="E783" t="s">
        <v>17</v>
      </c>
      <c r="F783">
        <v>2.77</v>
      </c>
      <c r="G783">
        <v>3</v>
      </c>
      <c r="H783">
        <v>84.7</v>
      </c>
      <c r="I783">
        <v>0.92</v>
      </c>
      <c r="J783" t="s">
        <v>28</v>
      </c>
      <c r="K783">
        <v>22</v>
      </c>
      <c r="L783">
        <v>87</v>
      </c>
      <c r="M783">
        <v>0.83</v>
      </c>
      <c r="N783">
        <v>9</v>
      </c>
      <c r="O783">
        <v>0.75</v>
      </c>
      <c r="P783" t="s">
        <v>24</v>
      </c>
    </row>
    <row r="784" spans="1:16" x14ac:dyDescent="0.35">
      <c r="A784" t="s">
        <v>810</v>
      </c>
      <c r="B784">
        <v>783</v>
      </c>
      <c r="C784">
        <v>25</v>
      </c>
      <c r="D784" t="s">
        <v>21</v>
      </c>
      <c r="E784" t="s">
        <v>46</v>
      </c>
      <c r="F784">
        <v>3.18</v>
      </c>
      <c r="G784">
        <v>4</v>
      </c>
      <c r="H784">
        <v>91.3</v>
      </c>
      <c r="I784">
        <v>0.78</v>
      </c>
      <c r="J784" t="s">
        <v>18</v>
      </c>
      <c r="K784">
        <v>5</v>
      </c>
      <c r="L784">
        <v>65</v>
      </c>
      <c r="M784">
        <v>0.61</v>
      </c>
      <c r="N784">
        <v>3</v>
      </c>
      <c r="O784">
        <v>0.87</v>
      </c>
      <c r="P784" t="s">
        <v>24</v>
      </c>
    </row>
    <row r="785" spans="1:16" x14ac:dyDescent="0.35">
      <c r="A785" t="s">
        <v>811</v>
      </c>
      <c r="B785">
        <v>784</v>
      </c>
      <c r="C785">
        <v>21</v>
      </c>
      <c r="D785" t="s">
        <v>21</v>
      </c>
      <c r="E785" t="s">
        <v>22</v>
      </c>
      <c r="F785">
        <v>2.37</v>
      </c>
      <c r="G785">
        <v>3</v>
      </c>
      <c r="H785">
        <v>88.1</v>
      </c>
      <c r="I785">
        <v>0.67</v>
      </c>
      <c r="J785" t="s">
        <v>18</v>
      </c>
      <c r="K785">
        <v>1</v>
      </c>
      <c r="L785">
        <v>89</v>
      </c>
      <c r="M785">
        <v>0.69</v>
      </c>
      <c r="N785">
        <v>6</v>
      </c>
      <c r="O785">
        <v>0.78</v>
      </c>
      <c r="P785" t="s">
        <v>19</v>
      </c>
    </row>
    <row r="786" spans="1:16" x14ac:dyDescent="0.35">
      <c r="A786" t="s">
        <v>812</v>
      </c>
      <c r="B786">
        <v>785</v>
      </c>
      <c r="C786">
        <v>19</v>
      </c>
      <c r="D786" t="s">
        <v>21</v>
      </c>
      <c r="E786" t="s">
        <v>46</v>
      </c>
      <c r="F786">
        <v>3.2</v>
      </c>
      <c r="G786">
        <v>4</v>
      </c>
      <c r="H786">
        <v>93.4</v>
      </c>
      <c r="I786">
        <v>0.71</v>
      </c>
      <c r="J786" t="s">
        <v>18</v>
      </c>
      <c r="K786">
        <v>20</v>
      </c>
      <c r="L786">
        <v>59</v>
      </c>
      <c r="M786">
        <v>0.5</v>
      </c>
      <c r="N786">
        <v>6</v>
      </c>
      <c r="O786">
        <v>0.54</v>
      </c>
      <c r="P786" t="s">
        <v>19</v>
      </c>
    </row>
    <row r="787" spans="1:16" x14ac:dyDescent="0.35">
      <c r="A787" t="s">
        <v>813</v>
      </c>
      <c r="B787">
        <v>786</v>
      </c>
      <c r="C787">
        <v>18</v>
      </c>
      <c r="D787" t="s">
        <v>32</v>
      </c>
      <c r="E787" t="s">
        <v>22</v>
      </c>
      <c r="F787">
        <v>3.72</v>
      </c>
      <c r="G787">
        <v>4</v>
      </c>
      <c r="H787">
        <v>62.2</v>
      </c>
      <c r="I787">
        <v>0.8</v>
      </c>
      <c r="J787" t="s">
        <v>18</v>
      </c>
      <c r="K787">
        <v>34</v>
      </c>
      <c r="L787">
        <v>67</v>
      </c>
      <c r="M787">
        <v>0.85</v>
      </c>
      <c r="N787">
        <v>7</v>
      </c>
      <c r="O787">
        <v>0.59</v>
      </c>
      <c r="P787" t="s">
        <v>24</v>
      </c>
    </row>
    <row r="788" spans="1:16" x14ac:dyDescent="0.35">
      <c r="A788" t="s">
        <v>814</v>
      </c>
      <c r="B788">
        <v>787</v>
      </c>
      <c r="C788">
        <v>24</v>
      </c>
      <c r="D788" t="s">
        <v>21</v>
      </c>
      <c r="E788" t="s">
        <v>22</v>
      </c>
      <c r="F788">
        <v>3.74</v>
      </c>
      <c r="G788">
        <v>3</v>
      </c>
      <c r="H788">
        <v>89.9</v>
      </c>
      <c r="I788">
        <v>0.66</v>
      </c>
      <c r="J788" t="s">
        <v>23</v>
      </c>
      <c r="K788">
        <v>28</v>
      </c>
      <c r="L788">
        <v>27</v>
      </c>
      <c r="M788">
        <v>0.66</v>
      </c>
      <c r="N788">
        <v>7</v>
      </c>
      <c r="O788">
        <v>0.61</v>
      </c>
      <c r="P788" t="s">
        <v>19</v>
      </c>
    </row>
    <row r="789" spans="1:16" x14ac:dyDescent="0.35">
      <c r="A789" t="s">
        <v>815</v>
      </c>
      <c r="B789">
        <v>788</v>
      </c>
      <c r="C789">
        <v>25</v>
      </c>
      <c r="D789" t="s">
        <v>21</v>
      </c>
      <c r="E789" t="s">
        <v>17</v>
      </c>
      <c r="F789">
        <v>3.45</v>
      </c>
      <c r="G789">
        <v>4</v>
      </c>
      <c r="H789">
        <v>94</v>
      </c>
      <c r="I789">
        <v>0.84</v>
      </c>
      <c r="J789" t="s">
        <v>23</v>
      </c>
      <c r="K789">
        <v>6</v>
      </c>
      <c r="L789">
        <v>89</v>
      </c>
      <c r="M789">
        <v>0.79</v>
      </c>
      <c r="N789">
        <v>15</v>
      </c>
      <c r="O789">
        <v>0.63</v>
      </c>
      <c r="P789" t="s">
        <v>24</v>
      </c>
    </row>
    <row r="790" spans="1:16" x14ac:dyDescent="0.35">
      <c r="A790" t="s">
        <v>816</v>
      </c>
      <c r="B790">
        <v>789</v>
      </c>
      <c r="C790">
        <v>25</v>
      </c>
      <c r="D790" t="s">
        <v>32</v>
      </c>
      <c r="E790" t="s">
        <v>30</v>
      </c>
      <c r="F790">
        <v>3.49</v>
      </c>
      <c r="G790">
        <v>5</v>
      </c>
      <c r="H790">
        <v>71.400000000000006</v>
      </c>
      <c r="I790">
        <v>0.83</v>
      </c>
      <c r="J790" t="s">
        <v>23</v>
      </c>
      <c r="K790">
        <v>28</v>
      </c>
      <c r="L790">
        <v>16</v>
      </c>
      <c r="M790">
        <v>0.98</v>
      </c>
      <c r="N790">
        <v>11</v>
      </c>
      <c r="O790">
        <v>0.78</v>
      </c>
      <c r="P790" t="s">
        <v>24</v>
      </c>
    </row>
    <row r="791" spans="1:16" x14ac:dyDescent="0.35">
      <c r="A791" t="s">
        <v>817</v>
      </c>
      <c r="B791">
        <v>790</v>
      </c>
      <c r="C791">
        <v>24</v>
      </c>
      <c r="D791" t="s">
        <v>32</v>
      </c>
      <c r="E791" t="s">
        <v>17</v>
      </c>
      <c r="F791">
        <v>3.12</v>
      </c>
      <c r="G791">
        <v>3</v>
      </c>
      <c r="H791">
        <v>85.6</v>
      </c>
      <c r="I791">
        <v>0.89</v>
      </c>
      <c r="J791" t="s">
        <v>28</v>
      </c>
      <c r="K791">
        <v>36</v>
      </c>
      <c r="L791">
        <v>85</v>
      </c>
      <c r="M791">
        <v>0.65</v>
      </c>
      <c r="N791">
        <v>14</v>
      </c>
      <c r="O791">
        <v>0.75</v>
      </c>
      <c r="P791" t="s">
        <v>41</v>
      </c>
    </row>
    <row r="792" spans="1:16" x14ac:dyDescent="0.35">
      <c r="A792" t="s">
        <v>818</v>
      </c>
      <c r="B792">
        <v>791</v>
      </c>
      <c r="C792">
        <v>23</v>
      </c>
      <c r="D792" t="s">
        <v>16</v>
      </c>
      <c r="E792" t="s">
        <v>30</v>
      </c>
      <c r="F792">
        <v>3.17</v>
      </c>
      <c r="G792">
        <v>3</v>
      </c>
      <c r="H792">
        <v>72.599999999999994</v>
      </c>
      <c r="I792">
        <v>0.98</v>
      </c>
      <c r="J792" t="s">
        <v>18</v>
      </c>
      <c r="K792">
        <v>22</v>
      </c>
      <c r="L792">
        <v>19</v>
      </c>
      <c r="M792">
        <v>1</v>
      </c>
      <c r="N792">
        <v>7</v>
      </c>
      <c r="O792">
        <v>0.6</v>
      </c>
      <c r="P792" t="s">
        <v>41</v>
      </c>
    </row>
    <row r="793" spans="1:16" x14ac:dyDescent="0.35">
      <c r="A793" t="s">
        <v>819</v>
      </c>
      <c r="B793">
        <v>792</v>
      </c>
      <c r="C793">
        <v>25</v>
      </c>
      <c r="D793" t="s">
        <v>32</v>
      </c>
      <c r="E793" t="s">
        <v>22</v>
      </c>
      <c r="F793">
        <v>2.27</v>
      </c>
      <c r="G793">
        <v>4</v>
      </c>
      <c r="H793">
        <v>98.3</v>
      </c>
      <c r="I793">
        <v>0.96</v>
      </c>
      <c r="J793" t="s">
        <v>18</v>
      </c>
      <c r="K793">
        <v>32</v>
      </c>
      <c r="L793">
        <v>78</v>
      </c>
      <c r="M793">
        <v>0.82</v>
      </c>
      <c r="N793">
        <v>8</v>
      </c>
      <c r="O793">
        <v>0.53</v>
      </c>
      <c r="P793" t="s">
        <v>19</v>
      </c>
    </row>
    <row r="794" spans="1:16" x14ac:dyDescent="0.35">
      <c r="A794" t="s">
        <v>820</v>
      </c>
      <c r="B794">
        <v>793</v>
      </c>
      <c r="C794">
        <v>22</v>
      </c>
      <c r="D794" t="s">
        <v>32</v>
      </c>
      <c r="E794" t="s">
        <v>17</v>
      </c>
      <c r="F794">
        <v>2.89</v>
      </c>
      <c r="G794">
        <v>4</v>
      </c>
      <c r="H794">
        <v>61.3</v>
      </c>
      <c r="I794">
        <v>0.98</v>
      </c>
      <c r="J794" t="s">
        <v>23</v>
      </c>
      <c r="K794">
        <v>7</v>
      </c>
      <c r="L794">
        <v>12</v>
      </c>
      <c r="M794">
        <v>0.62</v>
      </c>
      <c r="N794">
        <v>2</v>
      </c>
      <c r="O794">
        <v>0.59</v>
      </c>
      <c r="P794" t="s">
        <v>24</v>
      </c>
    </row>
    <row r="795" spans="1:16" x14ac:dyDescent="0.35">
      <c r="A795" t="s">
        <v>821</v>
      </c>
      <c r="B795">
        <v>794</v>
      </c>
      <c r="C795">
        <v>21</v>
      </c>
      <c r="D795" t="s">
        <v>16</v>
      </c>
      <c r="E795" t="s">
        <v>30</v>
      </c>
      <c r="F795">
        <v>2.9</v>
      </c>
      <c r="G795">
        <v>3</v>
      </c>
      <c r="H795">
        <v>83.2</v>
      </c>
      <c r="I795">
        <v>0.7</v>
      </c>
      <c r="J795" t="s">
        <v>28</v>
      </c>
      <c r="K795">
        <v>11</v>
      </c>
      <c r="L795">
        <v>53</v>
      </c>
      <c r="M795">
        <v>0.72</v>
      </c>
      <c r="N795">
        <v>15</v>
      </c>
      <c r="O795">
        <v>0.99</v>
      </c>
      <c r="P795" t="s">
        <v>19</v>
      </c>
    </row>
    <row r="796" spans="1:16" x14ac:dyDescent="0.35">
      <c r="A796" t="s">
        <v>822</v>
      </c>
      <c r="B796">
        <v>795</v>
      </c>
      <c r="C796">
        <v>18</v>
      </c>
      <c r="D796" t="s">
        <v>32</v>
      </c>
      <c r="E796" t="s">
        <v>46</v>
      </c>
      <c r="F796">
        <v>3.92</v>
      </c>
      <c r="G796">
        <v>5</v>
      </c>
      <c r="H796">
        <v>66.7</v>
      </c>
      <c r="I796">
        <v>0.65</v>
      </c>
      <c r="J796" t="s">
        <v>28</v>
      </c>
      <c r="K796">
        <v>9</v>
      </c>
      <c r="L796">
        <v>79</v>
      </c>
      <c r="M796">
        <v>0.87</v>
      </c>
      <c r="N796">
        <v>14</v>
      </c>
      <c r="O796">
        <v>0.73</v>
      </c>
      <c r="P796" t="s">
        <v>19</v>
      </c>
    </row>
    <row r="797" spans="1:16" x14ac:dyDescent="0.35">
      <c r="A797" t="s">
        <v>823</v>
      </c>
      <c r="B797">
        <v>796</v>
      </c>
      <c r="C797">
        <v>24</v>
      </c>
      <c r="D797" t="s">
        <v>32</v>
      </c>
      <c r="E797" t="s">
        <v>30</v>
      </c>
      <c r="F797">
        <v>2.86</v>
      </c>
      <c r="G797">
        <v>4</v>
      </c>
      <c r="H797">
        <v>88.5</v>
      </c>
      <c r="I797">
        <v>0.72</v>
      </c>
      <c r="J797" t="s">
        <v>28</v>
      </c>
      <c r="K797">
        <v>14</v>
      </c>
      <c r="L797">
        <v>23</v>
      </c>
      <c r="M797">
        <v>0.72</v>
      </c>
      <c r="N797">
        <v>3</v>
      </c>
      <c r="O797">
        <v>0.93</v>
      </c>
      <c r="P797" t="s">
        <v>19</v>
      </c>
    </row>
    <row r="798" spans="1:16" x14ac:dyDescent="0.35">
      <c r="A798" t="s">
        <v>824</v>
      </c>
      <c r="B798">
        <v>797</v>
      </c>
      <c r="C798">
        <v>22</v>
      </c>
      <c r="D798" t="s">
        <v>32</v>
      </c>
      <c r="E798" t="s">
        <v>17</v>
      </c>
      <c r="F798">
        <v>3.1</v>
      </c>
      <c r="G798">
        <v>4</v>
      </c>
      <c r="H798">
        <v>67</v>
      </c>
      <c r="I798">
        <v>0.96</v>
      </c>
      <c r="J798" t="s">
        <v>23</v>
      </c>
      <c r="K798">
        <v>23</v>
      </c>
      <c r="L798">
        <v>13</v>
      </c>
      <c r="M798">
        <v>0.53</v>
      </c>
      <c r="N798">
        <v>19</v>
      </c>
      <c r="O798">
        <v>0.92</v>
      </c>
      <c r="P798" t="s">
        <v>41</v>
      </c>
    </row>
    <row r="799" spans="1:16" x14ac:dyDescent="0.35">
      <c r="A799" t="s">
        <v>825</v>
      </c>
      <c r="B799">
        <v>798</v>
      </c>
      <c r="C799">
        <v>24</v>
      </c>
      <c r="D799" t="s">
        <v>32</v>
      </c>
      <c r="E799" t="s">
        <v>46</v>
      </c>
      <c r="F799">
        <v>3.07</v>
      </c>
      <c r="G799">
        <v>6</v>
      </c>
      <c r="H799">
        <v>69.400000000000006</v>
      </c>
      <c r="I799">
        <v>0.99</v>
      </c>
      <c r="J799" t="s">
        <v>28</v>
      </c>
      <c r="K799">
        <v>25</v>
      </c>
      <c r="L799">
        <v>27</v>
      </c>
      <c r="M799">
        <v>0.57999999999999996</v>
      </c>
      <c r="N799">
        <v>15</v>
      </c>
      <c r="O799">
        <v>0.76</v>
      </c>
      <c r="P799" t="s">
        <v>41</v>
      </c>
    </row>
    <row r="800" spans="1:16" x14ac:dyDescent="0.35">
      <c r="A800" t="s">
        <v>826</v>
      </c>
      <c r="B800">
        <v>799</v>
      </c>
      <c r="C800">
        <v>18</v>
      </c>
      <c r="D800" t="s">
        <v>16</v>
      </c>
      <c r="E800" t="s">
        <v>30</v>
      </c>
      <c r="F800">
        <v>3.27</v>
      </c>
      <c r="G800">
        <v>5</v>
      </c>
      <c r="H800">
        <v>79.8</v>
      </c>
      <c r="I800">
        <v>0.94</v>
      </c>
      <c r="J800" t="s">
        <v>28</v>
      </c>
      <c r="K800">
        <v>38</v>
      </c>
      <c r="L800">
        <v>61</v>
      </c>
      <c r="M800">
        <v>0.9</v>
      </c>
      <c r="N800">
        <v>9</v>
      </c>
      <c r="O800">
        <v>0.85</v>
      </c>
      <c r="P800" t="s">
        <v>41</v>
      </c>
    </row>
    <row r="801" spans="1:16" x14ac:dyDescent="0.35">
      <c r="A801" t="s">
        <v>827</v>
      </c>
      <c r="B801">
        <v>800</v>
      </c>
      <c r="C801">
        <v>20</v>
      </c>
      <c r="D801" t="s">
        <v>32</v>
      </c>
      <c r="E801" t="s">
        <v>30</v>
      </c>
      <c r="F801">
        <v>3.5</v>
      </c>
      <c r="G801">
        <v>5</v>
      </c>
      <c r="H801">
        <v>96.6</v>
      </c>
      <c r="I801">
        <v>0.64</v>
      </c>
      <c r="J801" t="s">
        <v>28</v>
      </c>
      <c r="K801">
        <v>2</v>
      </c>
      <c r="L801">
        <v>47</v>
      </c>
      <c r="M801">
        <v>0.82</v>
      </c>
      <c r="N801">
        <v>10</v>
      </c>
      <c r="O801">
        <v>0.6</v>
      </c>
      <c r="P801" t="s">
        <v>19</v>
      </c>
    </row>
    <row r="802" spans="1:16" x14ac:dyDescent="0.35">
      <c r="A802" t="s">
        <v>828</v>
      </c>
      <c r="B802">
        <v>801</v>
      </c>
      <c r="C802">
        <v>18</v>
      </c>
      <c r="D802" t="s">
        <v>32</v>
      </c>
      <c r="E802" t="s">
        <v>30</v>
      </c>
      <c r="F802">
        <v>2.4500000000000002</v>
      </c>
      <c r="G802">
        <v>3</v>
      </c>
      <c r="H802">
        <v>68.5</v>
      </c>
      <c r="I802">
        <v>0.98</v>
      </c>
      <c r="J802" t="s">
        <v>18</v>
      </c>
      <c r="K802">
        <v>1</v>
      </c>
      <c r="L802">
        <v>89</v>
      </c>
      <c r="M802">
        <v>0.78</v>
      </c>
      <c r="N802">
        <v>4</v>
      </c>
      <c r="O802">
        <v>0.84</v>
      </c>
      <c r="P802" t="s">
        <v>19</v>
      </c>
    </row>
    <row r="803" spans="1:16" x14ac:dyDescent="0.35">
      <c r="A803" t="s">
        <v>829</v>
      </c>
      <c r="B803">
        <v>802</v>
      </c>
      <c r="C803">
        <v>23</v>
      </c>
      <c r="D803" t="s">
        <v>16</v>
      </c>
      <c r="E803" t="s">
        <v>30</v>
      </c>
      <c r="F803">
        <v>3.06</v>
      </c>
      <c r="G803">
        <v>5</v>
      </c>
      <c r="H803">
        <v>65.8</v>
      </c>
      <c r="I803">
        <v>0.77</v>
      </c>
      <c r="J803" t="s">
        <v>23</v>
      </c>
      <c r="K803">
        <v>5</v>
      </c>
      <c r="L803">
        <v>29</v>
      </c>
      <c r="M803">
        <v>0.57999999999999996</v>
      </c>
      <c r="N803">
        <v>10</v>
      </c>
      <c r="O803">
        <v>0.64</v>
      </c>
      <c r="P803" t="s">
        <v>24</v>
      </c>
    </row>
    <row r="804" spans="1:16" x14ac:dyDescent="0.35">
      <c r="A804" t="s">
        <v>830</v>
      </c>
      <c r="B804">
        <v>803</v>
      </c>
      <c r="C804">
        <v>18</v>
      </c>
      <c r="D804" t="s">
        <v>21</v>
      </c>
      <c r="E804" t="s">
        <v>30</v>
      </c>
      <c r="F804">
        <v>3.65</v>
      </c>
      <c r="G804">
        <v>3</v>
      </c>
      <c r="H804">
        <v>90.4</v>
      </c>
      <c r="I804">
        <v>0.6</v>
      </c>
      <c r="J804" t="s">
        <v>18</v>
      </c>
      <c r="K804">
        <v>20</v>
      </c>
      <c r="L804">
        <v>53</v>
      </c>
      <c r="M804">
        <v>0.92</v>
      </c>
      <c r="N804">
        <v>12</v>
      </c>
      <c r="O804">
        <v>0.92</v>
      </c>
      <c r="P804" t="s">
        <v>19</v>
      </c>
    </row>
    <row r="805" spans="1:16" x14ac:dyDescent="0.35">
      <c r="A805" t="s">
        <v>831</v>
      </c>
      <c r="B805">
        <v>804</v>
      </c>
      <c r="C805">
        <v>18</v>
      </c>
      <c r="D805" t="s">
        <v>16</v>
      </c>
      <c r="E805" t="s">
        <v>46</v>
      </c>
      <c r="F805">
        <v>2.93</v>
      </c>
      <c r="G805">
        <v>6</v>
      </c>
      <c r="H805">
        <v>80</v>
      </c>
      <c r="I805">
        <v>0.78</v>
      </c>
      <c r="J805" t="s">
        <v>18</v>
      </c>
      <c r="K805">
        <v>8</v>
      </c>
      <c r="L805">
        <v>60</v>
      </c>
      <c r="M805">
        <v>0.98</v>
      </c>
      <c r="N805">
        <v>14</v>
      </c>
      <c r="O805">
        <v>0.54</v>
      </c>
      <c r="P805" t="s">
        <v>24</v>
      </c>
    </row>
    <row r="806" spans="1:16" x14ac:dyDescent="0.35">
      <c r="A806" t="s">
        <v>832</v>
      </c>
      <c r="B806">
        <v>805</v>
      </c>
      <c r="C806">
        <v>23</v>
      </c>
      <c r="D806" t="s">
        <v>21</v>
      </c>
      <c r="E806" t="s">
        <v>22</v>
      </c>
      <c r="F806">
        <v>2.56</v>
      </c>
      <c r="G806">
        <v>5</v>
      </c>
      <c r="H806">
        <v>96.5</v>
      </c>
      <c r="I806">
        <v>0.62</v>
      </c>
      <c r="J806" t="s">
        <v>23</v>
      </c>
      <c r="K806">
        <v>9</v>
      </c>
      <c r="L806">
        <v>28</v>
      </c>
      <c r="M806">
        <v>0.52</v>
      </c>
      <c r="N806">
        <v>5</v>
      </c>
      <c r="O806">
        <v>0.89</v>
      </c>
      <c r="P806" t="s">
        <v>19</v>
      </c>
    </row>
    <row r="807" spans="1:16" x14ac:dyDescent="0.35">
      <c r="A807" t="s">
        <v>833</v>
      </c>
      <c r="B807">
        <v>806</v>
      </c>
      <c r="C807">
        <v>21</v>
      </c>
      <c r="D807" t="s">
        <v>16</v>
      </c>
      <c r="E807" t="s">
        <v>46</v>
      </c>
      <c r="F807">
        <v>3.31</v>
      </c>
      <c r="G807">
        <v>4</v>
      </c>
      <c r="H807">
        <v>65.900000000000006</v>
      </c>
      <c r="I807">
        <v>0.82</v>
      </c>
      <c r="J807" t="s">
        <v>18</v>
      </c>
      <c r="K807">
        <v>35</v>
      </c>
      <c r="L807">
        <v>77</v>
      </c>
      <c r="M807">
        <v>0.54</v>
      </c>
      <c r="N807">
        <v>15</v>
      </c>
      <c r="O807">
        <v>0.55000000000000004</v>
      </c>
      <c r="P807" t="s">
        <v>24</v>
      </c>
    </row>
    <row r="808" spans="1:16" x14ac:dyDescent="0.35">
      <c r="A808" t="s">
        <v>834</v>
      </c>
      <c r="B808">
        <v>807</v>
      </c>
      <c r="C808">
        <v>25</v>
      </c>
      <c r="D808" t="s">
        <v>16</v>
      </c>
      <c r="E808" t="s">
        <v>46</v>
      </c>
      <c r="F808">
        <v>3.65</v>
      </c>
      <c r="G808">
        <v>6</v>
      </c>
      <c r="H808">
        <v>85.8</v>
      </c>
      <c r="I808">
        <v>0.74</v>
      </c>
      <c r="J808" t="s">
        <v>28</v>
      </c>
      <c r="K808">
        <v>2</v>
      </c>
      <c r="L808">
        <v>75</v>
      </c>
      <c r="M808">
        <v>0.94</v>
      </c>
      <c r="N808">
        <v>14</v>
      </c>
      <c r="O808">
        <v>0.94</v>
      </c>
      <c r="P808" t="s">
        <v>19</v>
      </c>
    </row>
    <row r="809" spans="1:16" x14ac:dyDescent="0.35">
      <c r="A809" t="s">
        <v>835</v>
      </c>
      <c r="B809">
        <v>808</v>
      </c>
      <c r="C809">
        <v>18</v>
      </c>
      <c r="D809" t="s">
        <v>32</v>
      </c>
      <c r="E809" t="s">
        <v>46</v>
      </c>
      <c r="F809">
        <v>2.13</v>
      </c>
      <c r="G809">
        <v>3</v>
      </c>
      <c r="H809">
        <v>69.3</v>
      </c>
      <c r="I809">
        <v>0.79</v>
      </c>
      <c r="J809" t="s">
        <v>28</v>
      </c>
      <c r="K809">
        <v>23</v>
      </c>
      <c r="L809">
        <v>22</v>
      </c>
      <c r="M809">
        <v>0.91</v>
      </c>
      <c r="N809">
        <v>10</v>
      </c>
      <c r="O809">
        <v>0.65</v>
      </c>
      <c r="P809" t="s">
        <v>19</v>
      </c>
    </row>
    <row r="810" spans="1:16" x14ac:dyDescent="0.35">
      <c r="A810" t="s">
        <v>836</v>
      </c>
      <c r="B810">
        <v>809</v>
      </c>
      <c r="C810">
        <v>23</v>
      </c>
      <c r="D810" t="s">
        <v>21</v>
      </c>
      <c r="E810" t="s">
        <v>22</v>
      </c>
      <c r="F810">
        <v>3.55</v>
      </c>
      <c r="G810">
        <v>6</v>
      </c>
      <c r="H810">
        <v>66.3</v>
      </c>
      <c r="I810">
        <v>0.85</v>
      </c>
      <c r="J810" t="s">
        <v>28</v>
      </c>
      <c r="K810">
        <v>21</v>
      </c>
      <c r="L810">
        <v>71</v>
      </c>
      <c r="M810">
        <v>0.81</v>
      </c>
      <c r="N810">
        <v>19</v>
      </c>
      <c r="O810">
        <v>0.83</v>
      </c>
      <c r="P810" t="s">
        <v>41</v>
      </c>
    </row>
    <row r="811" spans="1:16" x14ac:dyDescent="0.35">
      <c r="A811" t="s">
        <v>837</v>
      </c>
      <c r="B811">
        <v>810</v>
      </c>
      <c r="C811">
        <v>22</v>
      </c>
      <c r="D811" t="s">
        <v>32</v>
      </c>
      <c r="E811" t="s">
        <v>17</v>
      </c>
      <c r="F811">
        <v>3.64</v>
      </c>
      <c r="G811">
        <v>3</v>
      </c>
      <c r="H811">
        <v>87.3</v>
      </c>
      <c r="I811">
        <v>0.95</v>
      </c>
      <c r="J811" t="s">
        <v>28</v>
      </c>
      <c r="K811">
        <v>13</v>
      </c>
      <c r="L811">
        <v>70</v>
      </c>
      <c r="M811">
        <v>0.97</v>
      </c>
      <c r="N811">
        <v>1</v>
      </c>
      <c r="O811">
        <v>0.74</v>
      </c>
      <c r="P811" t="s">
        <v>41</v>
      </c>
    </row>
    <row r="812" spans="1:16" x14ac:dyDescent="0.35">
      <c r="A812" t="s">
        <v>838</v>
      </c>
      <c r="B812">
        <v>811</v>
      </c>
      <c r="C812">
        <v>20</v>
      </c>
      <c r="D812" t="s">
        <v>21</v>
      </c>
      <c r="E812" t="s">
        <v>22</v>
      </c>
      <c r="F812">
        <v>2.92</v>
      </c>
      <c r="G812">
        <v>6</v>
      </c>
      <c r="H812">
        <v>83.7</v>
      </c>
      <c r="I812">
        <v>0.86</v>
      </c>
      <c r="J812" t="s">
        <v>23</v>
      </c>
      <c r="K812">
        <v>26</v>
      </c>
      <c r="L812">
        <v>39</v>
      </c>
      <c r="M812">
        <v>0.82</v>
      </c>
      <c r="N812">
        <v>1</v>
      </c>
      <c r="O812">
        <v>0.68</v>
      </c>
      <c r="P812" t="s">
        <v>24</v>
      </c>
    </row>
    <row r="813" spans="1:16" x14ac:dyDescent="0.35">
      <c r="A813" t="s">
        <v>839</v>
      </c>
      <c r="B813">
        <v>812</v>
      </c>
      <c r="C813">
        <v>20</v>
      </c>
      <c r="D813" t="s">
        <v>16</v>
      </c>
      <c r="E813" t="s">
        <v>46</v>
      </c>
      <c r="F813">
        <v>3.97</v>
      </c>
      <c r="G813">
        <v>3</v>
      </c>
      <c r="H813">
        <v>90.2</v>
      </c>
      <c r="I813">
        <v>0.77</v>
      </c>
      <c r="J813" t="s">
        <v>18</v>
      </c>
      <c r="K813">
        <v>32</v>
      </c>
      <c r="L813">
        <v>39</v>
      </c>
      <c r="M813">
        <v>0.61</v>
      </c>
      <c r="N813">
        <v>11</v>
      </c>
      <c r="O813">
        <v>0.82</v>
      </c>
      <c r="P813" t="s">
        <v>24</v>
      </c>
    </row>
    <row r="814" spans="1:16" x14ac:dyDescent="0.35">
      <c r="A814" t="s">
        <v>840</v>
      </c>
      <c r="B814">
        <v>813</v>
      </c>
      <c r="C814">
        <v>18</v>
      </c>
      <c r="D814" t="s">
        <v>16</v>
      </c>
      <c r="E814" t="s">
        <v>30</v>
      </c>
      <c r="F814">
        <v>3.57</v>
      </c>
      <c r="G814">
        <v>5</v>
      </c>
      <c r="H814">
        <v>72.400000000000006</v>
      </c>
      <c r="I814">
        <v>0.93</v>
      </c>
      <c r="J814" t="s">
        <v>18</v>
      </c>
      <c r="K814">
        <v>21</v>
      </c>
      <c r="L814">
        <v>60</v>
      </c>
      <c r="M814">
        <v>0.86</v>
      </c>
      <c r="N814">
        <v>15</v>
      </c>
      <c r="O814">
        <v>0.97</v>
      </c>
      <c r="P814" t="s">
        <v>41</v>
      </c>
    </row>
    <row r="815" spans="1:16" x14ac:dyDescent="0.35">
      <c r="A815" t="s">
        <v>841</v>
      </c>
      <c r="B815">
        <v>814</v>
      </c>
      <c r="C815">
        <v>21</v>
      </c>
      <c r="D815" t="s">
        <v>21</v>
      </c>
      <c r="E815" t="s">
        <v>30</v>
      </c>
      <c r="F815">
        <v>3.55</v>
      </c>
      <c r="G815">
        <v>4</v>
      </c>
      <c r="H815">
        <v>77.900000000000006</v>
      </c>
      <c r="I815">
        <v>0.96</v>
      </c>
      <c r="J815" t="s">
        <v>28</v>
      </c>
      <c r="K815">
        <v>28</v>
      </c>
      <c r="L815">
        <v>57</v>
      </c>
      <c r="M815">
        <v>0.82</v>
      </c>
      <c r="N815">
        <v>18</v>
      </c>
      <c r="O815">
        <v>0.52</v>
      </c>
      <c r="P815" t="s">
        <v>41</v>
      </c>
    </row>
    <row r="816" spans="1:16" x14ac:dyDescent="0.35">
      <c r="A816" t="s">
        <v>842</v>
      </c>
      <c r="B816">
        <v>815</v>
      </c>
      <c r="C816">
        <v>21</v>
      </c>
      <c r="D816" t="s">
        <v>32</v>
      </c>
      <c r="E816" t="s">
        <v>46</v>
      </c>
      <c r="F816">
        <v>3.5</v>
      </c>
      <c r="G816">
        <v>3</v>
      </c>
      <c r="H816">
        <v>76.2</v>
      </c>
      <c r="I816">
        <v>0.65</v>
      </c>
      <c r="J816" t="s">
        <v>28</v>
      </c>
      <c r="K816">
        <v>18</v>
      </c>
      <c r="L816">
        <v>42</v>
      </c>
      <c r="M816">
        <v>0.99</v>
      </c>
      <c r="N816">
        <v>1</v>
      </c>
      <c r="O816">
        <v>0.96</v>
      </c>
      <c r="P816" t="s">
        <v>19</v>
      </c>
    </row>
    <row r="817" spans="1:16" x14ac:dyDescent="0.35">
      <c r="A817" t="s">
        <v>843</v>
      </c>
      <c r="B817">
        <v>816</v>
      </c>
      <c r="C817">
        <v>22</v>
      </c>
      <c r="D817" t="s">
        <v>32</v>
      </c>
      <c r="E817" t="s">
        <v>30</v>
      </c>
      <c r="F817">
        <v>2.2999999999999998</v>
      </c>
      <c r="G817">
        <v>6</v>
      </c>
      <c r="H817">
        <v>99.4</v>
      </c>
      <c r="I817">
        <v>0.81</v>
      </c>
      <c r="J817" t="s">
        <v>18</v>
      </c>
      <c r="K817">
        <v>18</v>
      </c>
      <c r="L817">
        <v>83</v>
      </c>
      <c r="M817">
        <v>0.61</v>
      </c>
      <c r="N817">
        <v>16</v>
      </c>
      <c r="O817">
        <v>0.8</v>
      </c>
      <c r="P817" t="s">
        <v>19</v>
      </c>
    </row>
    <row r="818" spans="1:16" x14ac:dyDescent="0.35">
      <c r="A818" t="s">
        <v>844</v>
      </c>
      <c r="B818">
        <v>817</v>
      </c>
      <c r="C818">
        <v>18</v>
      </c>
      <c r="D818" t="s">
        <v>32</v>
      </c>
      <c r="E818" t="s">
        <v>46</v>
      </c>
      <c r="F818">
        <v>2.4300000000000002</v>
      </c>
      <c r="G818">
        <v>3</v>
      </c>
      <c r="H818">
        <v>71.7</v>
      </c>
      <c r="I818">
        <v>0.71</v>
      </c>
      <c r="J818" t="s">
        <v>23</v>
      </c>
      <c r="K818">
        <v>5</v>
      </c>
      <c r="L818">
        <v>28</v>
      </c>
      <c r="M818">
        <v>0.8</v>
      </c>
      <c r="N818">
        <v>13</v>
      </c>
      <c r="O818">
        <v>0.9</v>
      </c>
      <c r="P818" t="s">
        <v>19</v>
      </c>
    </row>
    <row r="819" spans="1:16" x14ac:dyDescent="0.35">
      <c r="A819" t="s">
        <v>845</v>
      </c>
      <c r="B819">
        <v>818</v>
      </c>
      <c r="C819">
        <v>20</v>
      </c>
      <c r="D819" t="s">
        <v>32</v>
      </c>
      <c r="E819" t="s">
        <v>30</v>
      </c>
      <c r="F819">
        <v>2.93</v>
      </c>
      <c r="G819">
        <v>3</v>
      </c>
      <c r="H819">
        <v>71.8</v>
      </c>
      <c r="I819">
        <v>0.62</v>
      </c>
      <c r="J819" t="s">
        <v>18</v>
      </c>
      <c r="K819">
        <v>18</v>
      </c>
      <c r="L819">
        <v>80</v>
      </c>
      <c r="M819">
        <v>0.89</v>
      </c>
      <c r="N819">
        <v>15</v>
      </c>
      <c r="O819">
        <v>0.69</v>
      </c>
      <c r="P819" t="s">
        <v>19</v>
      </c>
    </row>
    <row r="820" spans="1:16" x14ac:dyDescent="0.35">
      <c r="A820" t="s">
        <v>846</v>
      </c>
      <c r="B820">
        <v>819</v>
      </c>
      <c r="C820">
        <v>21</v>
      </c>
      <c r="D820" t="s">
        <v>16</v>
      </c>
      <c r="E820" t="s">
        <v>22</v>
      </c>
      <c r="F820">
        <v>2.5299999999999998</v>
      </c>
      <c r="G820">
        <v>3</v>
      </c>
      <c r="H820">
        <v>74.2</v>
      </c>
      <c r="I820">
        <v>0.87</v>
      </c>
      <c r="J820" t="s">
        <v>28</v>
      </c>
      <c r="K820">
        <v>12</v>
      </c>
      <c r="L820">
        <v>66</v>
      </c>
      <c r="M820">
        <v>0.67</v>
      </c>
      <c r="N820">
        <v>4</v>
      </c>
      <c r="O820">
        <v>0.74</v>
      </c>
      <c r="P820" t="s">
        <v>24</v>
      </c>
    </row>
    <row r="821" spans="1:16" x14ac:dyDescent="0.35">
      <c r="A821" t="s">
        <v>847</v>
      </c>
      <c r="B821">
        <v>820</v>
      </c>
      <c r="C821">
        <v>18</v>
      </c>
      <c r="D821" t="s">
        <v>16</v>
      </c>
      <c r="E821" t="s">
        <v>17</v>
      </c>
      <c r="F821">
        <v>2.83</v>
      </c>
      <c r="G821">
        <v>6</v>
      </c>
      <c r="H821">
        <v>82.6</v>
      </c>
      <c r="I821">
        <v>0.95</v>
      </c>
      <c r="J821" t="s">
        <v>28</v>
      </c>
      <c r="K821">
        <v>25</v>
      </c>
      <c r="L821">
        <v>28</v>
      </c>
      <c r="M821">
        <v>0.69</v>
      </c>
      <c r="N821">
        <v>9</v>
      </c>
      <c r="O821">
        <v>0.93</v>
      </c>
      <c r="P821" t="s">
        <v>24</v>
      </c>
    </row>
    <row r="822" spans="1:16" x14ac:dyDescent="0.35">
      <c r="A822" t="s">
        <v>848</v>
      </c>
      <c r="B822">
        <v>821</v>
      </c>
      <c r="C822">
        <v>24</v>
      </c>
      <c r="D822" t="s">
        <v>16</v>
      </c>
      <c r="E822" t="s">
        <v>17</v>
      </c>
      <c r="F822">
        <v>3.78</v>
      </c>
      <c r="G822">
        <v>4</v>
      </c>
      <c r="H822">
        <v>70.099999999999994</v>
      </c>
      <c r="I822">
        <v>0.67</v>
      </c>
      <c r="J822" t="s">
        <v>23</v>
      </c>
      <c r="K822">
        <v>21</v>
      </c>
      <c r="L822">
        <v>88</v>
      </c>
      <c r="M822">
        <v>0.94</v>
      </c>
      <c r="N822">
        <v>16</v>
      </c>
      <c r="O822">
        <v>0.71</v>
      </c>
      <c r="P822" t="s">
        <v>19</v>
      </c>
    </row>
    <row r="823" spans="1:16" x14ac:dyDescent="0.35">
      <c r="A823" t="s">
        <v>849</v>
      </c>
      <c r="B823">
        <v>822</v>
      </c>
      <c r="C823">
        <v>21</v>
      </c>
      <c r="D823" t="s">
        <v>16</v>
      </c>
      <c r="E823" t="s">
        <v>22</v>
      </c>
      <c r="F823">
        <v>3.65</v>
      </c>
      <c r="G823">
        <v>5</v>
      </c>
      <c r="H823">
        <v>96.6</v>
      </c>
      <c r="I823">
        <v>0.92</v>
      </c>
      <c r="J823" t="s">
        <v>18</v>
      </c>
      <c r="K823">
        <v>20</v>
      </c>
      <c r="L823">
        <v>50</v>
      </c>
      <c r="M823">
        <v>0.7</v>
      </c>
      <c r="N823">
        <v>12</v>
      </c>
      <c r="O823">
        <v>0.77</v>
      </c>
      <c r="P823" t="s">
        <v>41</v>
      </c>
    </row>
    <row r="824" spans="1:16" x14ac:dyDescent="0.35">
      <c r="A824" t="s">
        <v>850</v>
      </c>
      <c r="B824">
        <v>823</v>
      </c>
      <c r="C824">
        <v>23</v>
      </c>
      <c r="D824" t="s">
        <v>16</v>
      </c>
      <c r="E824" t="s">
        <v>22</v>
      </c>
      <c r="F824">
        <v>3.26</v>
      </c>
      <c r="G824">
        <v>4</v>
      </c>
      <c r="H824">
        <v>70.599999999999994</v>
      </c>
      <c r="I824">
        <v>0.94</v>
      </c>
      <c r="J824" t="s">
        <v>23</v>
      </c>
      <c r="K824">
        <v>35</v>
      </c>
      <c r="L824">
        <v>51</v>
      </c>
      <c r="M824">
        <v>0.81</v>
      </c>
      <c r="N824">
        <v>15</v>
      </c>
      <c r="O824">
        <v>0.51</v>
      </c>
      <c r="P824" t="s">
        <v>41</v>
      </c>
    </row>
    <row r="825" spans="1:16" x14ac:dyDescent="0.35">
      <c r="A825" t="s">
        <v>851</v>
      </c>
      <c r="B825">
        <v>824</v>
      </c>
      <c r="C825">
        <v>24</v>
      </c>
      <c r="D825" t="s">
        <v>32</v>
      </c>
      <c r="E825" t="s">
        <v>46</v>
      </c>
      <c r="F825">
        <v>3.72</v>
      </c>
      <c r="G825">
        <v>3</v>
      </c>
      <c r="H825">
        <v>95.8</v>
      </c>
      <c r="I825">
        <v>0.97</v>
      </c>
      <c r="J825" t="s">
        <v>23</v>
      </c>
      <c r="K825">
        <v>1</v>
      </c>
      <c r="L825">
        <v>61</v>
      </c>
      <c r="M825">
        <v>0.94</v>
      </c>
      <c r="N825">
        <v>8</v>
      </c>
      <c r="O825">
        <v>0.57999999999999996</v>
      </c>
      <c r="P825" t="s">
        <v>41</v>
      </c>
    </row>
    <row r="826" spans="1:16" x14ac:dyDescent="0.35">
      <c r="A826" t="s">
        <v>852</v>
      </c>
      <c r="B826">
        <v>825</v>
      </c>
      <c r="C826">
        <v>25</v>
      </c>
      <c r="D826" t="s">
        <v>32</v>
      </c>
      <c r="E826" t="s">
        <v>46</v>
      </c>
      <c r="F826">
        <v>3.57</v>
      </c>
      <c r="G826">
        <v>6</v>
      </c>
      <c r="H826">
        <v>64.099999999999994</v>
      </c>
      <c r="I826">
        <v>0.71</v>
      </c>
      <c r="J826" t="s">
        <v>28</v>
      </c>
      <c r="K826">
        <v>29</v>
      </c>
      <c r="L826">
        <v>13</v>
      </c>
      <c r="M826">
        <v>0.6</v>
      </c>
      <c r="N826">
        <v>3</v>
      </c>
      <c r="O826">
        <v>0.82</v>
      </c>
      <c r="P826" t="s">
        <v>19</v>
      </c>
    </row>
    <row r="827" spans="1:16" x14ac:dyDescent="0.35">
      <c r="A827" t="s">
        <v>853</v>
      </c>
      <c r="B827">
        <v>826</v>
      </c>
      <c r="C827">
        <v>21</v>
      </c>
      <c r="D827" t="s">
        <v>32</v>
      </c>
      <c r="E827" t="s">
        <v>46</v>
      </c>
      <c r="F827">
        <v>2.86</v>
      </c>
      <c r="G827">
        <v>4</v>
      </c>
      <c r="H827">
        <v>86.3</v>
      </c>
      <c r="I827">
        <v>0.96</v>
      </c>
      <c r="J827" t="s">
        <v>18</v>
      </c>
      <c r="K827">
        <v>26</v>
      </c>
      <c r="L827">
        <v>13</v>
      </c>
      <c r="M827">
        <v>0.99</v>
      </c>
      <c r="N827">
        <v>15</v>
      </c>
      <c r="O827">
        <v>0.86</v>
      </c>
      <c r="P827" t="s">
        <v>24</v>
      </c>
    </row>
    <row r="828" spans="1:16" x14ac:dyDescent="0.35">
      <c r="A828" t="s">
        <v>854</v>
      </c>
      <c r="B828">
        <v>827</v>
      </c>
      <c r="C828">
        <v>20</v>
      </c>
      <c r="D828" t="s">
        <v>32</v>
      </c>
      <c r="E828" t="s">
        <v>30</v>
      </c>
      <c r="F828">
        <v>2.4</v>
      </c>
      <c r="G828">
        <v>3</v>
      </c>
      <c r="H828">
        <v>96.3</v>
      </c>
      <c r="I828">
        <v>0.73</v>
      </c>
      <c r="J828" t="s">
        <v>28</v>
      </c>
      <c r="K828">
        <v>6</v>
      </c>
      <c r="L828">
        <v>14</v>
      </c>
      <c r="M828">
        <v>0.85</v>
      </c>
      <c r="N828">
        <v>10</v>
      </c>
      <c r="O828">
        <v>0.79</v>
      </c>
      <c r="P828" t="s">
        <v>19</v>
      </c>
    </row>
    <row r="829" spans="1:16" x14ac:dyDescent="0.35">
      <c r="A829" t="s">
        <v>855</v>
      </c>
      <c r="B829">
        <v>828</v>
      </c>
      <c r="C829">
        <v>19</v>
      </c>
      <c r="D829" t="s">
        <v>16</v>
      </c>
      <c r="E829" t="s">
        <v>46</v>
      </c>
      <c r="F829">
        <v>3.03</v>
      </c>
      <c r="G829">
        <v>5</v>
      </c>
      <c r="H829">
        <v>66.7</v>
      </c>
      <c r="I829">
        <v>0.82</v>
      </c>
      <c r="J829" t="s">
        <v>18</v>
      </c>
      <c r="K829">
        <v>19</v>
      </c>
      <c r="L829">
        <v>50</v>
      </c>
      <c r="M829">
        <v>0.75</v>
      </c>
      <c r="N829">
        <v>6</v>
      </c>
      <c r="O829">
        <v>0.56999999999999995</v>
      </c>
      <c r="P829" t="s">
        <v>24</v>
      </c>
    </row>
    <row r="830" spans="1:16" x14ac:dyDescent="0.35">
      <c r="A830" t="s">
        <v>856</v>
      </c>
      <c r="B830">
        <v>829</v>
      </c>
      <c r="C830">
        <v>24</v>
      </c>
      <c r="D830" t="s">
        <v>16</v>
      </c>
      <c r="E830" t="s">
        <v>22</v>
      </c>
      <c r="F830">
        <v>3.47</v>
      </c>
      <c r="G830">
        <v>5</v>
      </c>
      <c r="H830">
        <v>98.7</v>
      </c>
      <c r="I830">
        <v>0.62</v>
      </c>
      <c r="J830" t="s">
        <v>28</v>
      </c>
      <c r="K830">
        <v>30</v>
      </c>
      <c r="L830">
        <v>70</v>
      </c>
      <c r="M830">
        <v>0.72</v>
      </c>
      <c r="N830">
        <v>16</v>
      </c>
      <c r="O830">
        <v>0.72</v>
      </c>
      <c r="P830" t="s">
        <v>19</v>
      </c>
    </row>
    <row r="831" spans="1:16" x14ac:dyDescent="0.35">
      <c r="A831" t="s">
        <v>857</v>
      </c>
      <c r="B831">
        <v>830</v>
      </c>
      <c r="C831">
        <v>25</v>
      </c>
      <c r="D831" t="s">
        <v>16</v>
      </c>
      <c r="E831" t="s">
        <v>17</v>
      </c>
      <c r="F831">
        <v>2.87</v>
      </c>
      <c r="G831">
        <v>5</v>
      </c>
      <c r="H831">
        <v>78.099999999999994</v>
      </c>
      <c r="I831">
        <v>0.62</v>
      </c>
      <c r="J831" t="s">
        <v>28</v>
      </c>
      <c r="K831">
        <v>22</v>
      </c>
      <c r="L831">
        <v>84</v>
      </c>
      <c r="M831">
        <v>0.98</v>
      </c>
      <c r="N831">
        <v>12</v>
      </c>
      <c r="O831">
        <v>0.68</v>
      </c>
      <c r="P831" t="s">
        <v>19</v>
      </c>
    </row>
    <row r="832" spans="1:16" x14ac:dyDescent="0.35">
      <c r="A832" t="s">
        <v>858</v>
      </c>
      <c r="B832">
        <v>831</v>
      </c>
      <c r="C832">
        <v>22</v>
      </c>
      <c r="D832" t="s">
        <v>21</v>
      </c>
      <c r="E832" t="s">
        <v>30</v>
      </c>
      <c r="F832">
        <v>3.33</v>
      </c>
      <c r="G832">
        <v>3</v>
      </c>
      <c r="H832">
        <v>97.8</v>
      </c>
      <c r="I832">
        <v>0.89</v>
      </c>
      <c r="J832" t="s">
        <v>18</v>
      </c>
      <c r="K832">
        <v>12</v>
      </c>
      <c r="L832">
        <v>64</v>
      </c>
      <c r="M832">
        <v>0.6</v>
      </c>
      <c r="N832">
        <v>3</v>
      </c>
      <c r="O832">
        <v>0.75</v>
      </c>
      <c r="P832" t="s">
        <v>41</v>
      </c>
    </row>
    <row r="833" spans="1:16" x14ac:dyDescent="0.35">
      <c r="A833" t="s">
        <v>859</v>
      </c>
      <c r="B833">
        <v>832</v>
      </c>
      <c r="C833">
        <v>22</v>
      </c>
      <c r="D833" t="s">
        <v>32</v>
      </c>
      <c r="E833" t="s">
        <v>46</v>
      </c>
      <c r="F833">
        <v>2.19</v>
      </c>
      <c r="G833">
        <v>6</v>
      </c>
      <c r="H833">
        <v>87.1</v>
      </c>
      <c r="I833">
        <v>0.78</v>
      </c>
      <c r="J833" t="s">
        <v>18</v>
      </c>
      <c r="K833">
        <v>16</v>
      </c>
      <c r="L833">
        <v>84</v>
      </c>
      <c r="M833">
        <v>0.66</v>
      </c>
      <c r="N833">
        <v>13</v>
      </c>
      <c r="O833">
        <v>0.94</v>
      </c>
      <c r="P833" t="s">
        <v>19</v>
      </c>
    </row>
    <row r="834" spans="1:16" x14ac:dyDescent="0.35">
      <c r="A834" t="s">
        <v>860</v>
      </c>
      <c r="B834">
        <v>833</v>
      </c>
      <c r="C834">
        <v>20</v>
      </c>
      <c r="D834" t="s">
        <v>32</v>
      </c>
      <c r="E834" t="s">
        <v>30</v>
      </c>
      <c r="F834">
        <v>3.5</v>
      </c>
      <c r="G834">
        <v>4</v>
      </c>
      <c r="H834">
        <v>72.099999999999994</v>
      </c>
      <c r="I834">
        <v>0.7</v>
      </c>
      <c r="J834" t="s">
        <v>28</v>
      </c>
      <c r="K834">
        <v>3</v>
      </c>
      <c r="L834">
        <v>22</v>
      </c>
      <c r="M834">
        <v>0.65</v>
      </c>
      <c r="N834">
        <v>9</v>
      </c>
      <c r="O834">
        <v>0.89</v>
      </c>
      <c r="P834" t="s">
        <v>19</v>
      </c>
    </row>
    <row r="835" spans="1:16" x14ac:dyDescent="0.35">
      <c r="A835" t="s">
        <v>861</v>
      </c>
      <c r="B835">
        <v>834</v>
      </c>
      <c r="C835">
        <v>21</v>
      </c>
      <c r="D835" t="s">
        <v>16</v>
      </c>
      <c r="E835" t="s">
        <v>30</v>
      </c>
      <c r="F835">
        <v>3.63</v>
      </c>
      <c r="G835">
        <v>5</v>
      </c>
      <c r="H835">
        <v>67.5</v>
      </c>
      <c r="I835">
        <v>0.68</v>
      </c>
      <c r="J835" t="s">
        <v>18</v>
      </c>
      <c r="K835">
        <v>13</v>
      </c>
      <c r="L835">
        <v>23</v>
      </c>
      <c r="M835">
        <v>0.64</v>
      </c>
      <c r="N835">
        <v>9</v>
      </c>
      <c r="O835">
        <v>0.54</v>
      </c>
      <c r="P835" t="s">
        <v>19</v>
      </c>
    </row>
    <row r="836" spans="1:16" x14ac:dyDescent="0.35">
      <c r="A836" t="s">
        <v>862</v>
      </c>
      <c r="B836">
        <v>835</v>
      </c>
      <c r="C836">
        <v>18</v>
      </c>
      <c r="D836" t="s">
        <v>32</v>
      </c>
      <c r="E836" t="s">
        <v>46</v>
      </c>
      <c r="F836">
        <v>3.41</v>
      </c>
      <c r="G836">
        <v>3</v>
      </c>
      <c r="H836">
        <v>72.099999999999994</v>
      </c>
      <c r="I836">
        <v>0.87</v>
      </c>
      <c r="J836" t="s">
        <v>28</v>
      </c>
      <c r="K836">
        <v>19</v>
      </c>
      <c r="L836">
        <v>69</v>
      </c>
      <c r="M836">
        <v>0.73</v>
      </c>
      <c r="N836">
        <v>9</v>
      </c>
      <c r="O836">
        <v>0.95</v>
      </c>
      <c r="P836" t="s">
        <v>41</v>
      </c>
    </row>
    <row r="837" spans="1:16" x14ac:dyDescent="0.35">
      <c r="A837" t="s">
        <v>863</v>
      </c>
      <c r="B837">
        <v>836</v>
      </c>
      <c r="C837">
        <v>21</v>
      </c>
      <c r="D837" t="s">
        <v>32</v>
      </c>
      <c r="E837" t="s">
        <v>30</v>
      </c>
      <c r="F837">
        <v>3.93</v>
      </c>
      <c r="G837">
        <v>3</v>
      </c>
      <c r="H837">
        <v>63.7</v>
      </c>
      <c r="I837">
        <v>0.6</v>
      </c>
      <c r="J837" t="s">
        <v>18</v>
      </c>
      <c r="K837">
        <v>12</v>
      </c>
      <c r="L837">
        <v>81</v>
      </c>
      <c r="M837">
        <v>0.99</v>
      </c>
      <c r="N837">
        <v>11</v>
      </c>
      <c r="O837">
        <v>0.74</v>
      </c>
      <c r="P837" t="s">
        <v>19</v>
      </c>
    </row>
    <row r="838" spans="1:16" x14ac:dyDescent="0.35">
      <c r="A838" t="s">
        <v>864</v>
      </c>
      <c r="B838">
        <v>837</v>
      </c>
      <c r="C838">
        <v>20</v>
      </c>
      <c r="D838" t="s">
        <v>16</v>
      </c>
      <c r="E838" t="s">
        <v>17</v>
      </c>
      <c r="F838">
        <v>3.65</v>
      </c>
      <c r="G838">
        <v>4</v>
      </c>
      <c r="H838">
        <v>65.8</v>
      </c>
      <c r="I838">
        <v>0.92</v>
      </c>
      <c r="J838" t="s">
        <v>28</v>
      </c>
      <c r="K838">
        <v>2</v>
      </c>
      <c r="L838">
        <v>34</v>
      </c>
      <c r="M838">
        <v>0.94</v>
      </c>
      <c r="N838">
        <v>1</v>
      </c>
      <c r="O838">
        <v>0.87</v>
      </c>
      <c r="P838" t="s">
        <v>41</v>
      </c>
    </row>
    <row r="839" spans="1:16" x14ac:dyDescent="0.35">
      <c r="A839" t="s">
        <v>865</v>
      </c>
      <c r="B839">
        <v>838</v>
      </c>
      <c r="C839">
        <v>22</v>
      </c>
      <c r="D839" t="s">
        <v>21</v>
      </c>
      <c r="E839" t="s">
        <v>22</v>
      </c>
      <c r="F839">
        <v>3.81</v>
      </c>
      <c r="G839">
        <v>5</v>
      </c>
      <c r="H839">
        <v>64.2</v>
      </c>
      <c r="I839">
        <v>0.63</v>
      </c>
      <c r="J839" t="s">
        <v>28</v>
      </c>
      <c r="K839">
        <v>25</v>
      </c>
      <c r="L839">
        <v>53</v>
      </c>
      <c r="M839">
        <v>0.66</v>
      </c>
      <c r="N839">
        <v>8</v>
      </c>
      <c r="O839">
        <v>0.56999999999999995</v>
      </c>
      <c r="P839" t="s">
        <v>19</v>
      </c>
    </row>
    <row r="840" spans="1:16" x14ac:dyDescent="0.35">
      <c r="A840" t="s">
        <v>866</v>
      </c>
      <c r="B840">
        <v>839</v>
      </c>
      <c r="C840">
        <v>21</v>
      </c>
      <c r="D840" t="s">
        <v>21</v>
      </c>
      <c r="E840" t="s">
        <v>22</v>
      </c>
      <c r="F840">
        <v>3.87</v>
      </c>
      <c r="G840">
        <v>3</v>
      </c>
      <c r="H840">
        <v>76.900000000000006</v>
      </c>
      <c r="I840">
        <v>0.68</v>
      </c>
      <c r="J840" t="s">
        <v>28</v>
      </c>
      <c r="K840">
        <v>25</v>
      </c>
      <c r="L840">
        <v>19</v>
      </c>
      <c r="M840">
        <v>0.71</v>
      </c>
      <c r="N840">
        <v>4</v>
      </c>
      <c r="O840">
        <v>0.84</v>
      </c>
      <c r="P840" t="s">
        <v>19</v>
      </c>
    </row>
    <row r="841" spans="1:16" x14ac:dyDescent="0.35">
      <c r="A841" t="s">
        <v>867</v>
      </c>
      <c r="B841">
        <v>840</v>
      </c>
      <c r="C841">
        <v>22</v>
      </c>
      <c r="D841" t="s">
        <v>21</v>
      </c>
      <c r="E841" t="s">
        <v>17</v>
      </c>
      <c r="F841">
        <v>3.6</v>
      </c>
      <c r="G841">
        <v>4</v>
      </c>
      <c r="H841">
        <v>91.8</v>
      </c>
      <c r="I841">
        <v>0.75</v>
      </c>
      <c r="J841" t="s">
        <v>23</v>
      </c>
      <c r="K841">
        <v>17</v>
      </c>
      <c r="L841">
        <v>80</v>
      </c>
      <c r="M841">
        <v>0.83</v>
      </c>
      <c r="N841">
        <v>7</v>
      </c>
      <c r="O841">
        <v>0.62</v>
      </c>
      <c r="P841" t="s">
        <v>24</v>
      </c>
    </row>
    <row r="842" spans="1:16" x14ac:dyDescent="0.35">
      <c r="A842" t="s">
        <v>868</v>
      </c>
      <c r="B842">
        <v>841</v>
      </c>
      <c r="C842">
        <v>24</v>
      </c>
      <c r="D842" t="s">
        <v>16</v>
      </c>
      <c r="E842" t="s">
        <v>30</v>
      </c>
      <c r="F842">
        <v>3.35</v>
      </c>
      <c r="G842">
        <v>6</v>
      </c>
      <c r="H842">
        <v>65.7</v>
      </c>
      <c r="I842">
        <v>0.79</v>
      </c>
      <c r="J842" t="s">
        <v>18</v>
      </c>
      <c r="K842">
        <v>31</v>
      </c>
      <c r="L842">
        <v>59</v>
      </c>
      <c r="M842">
        <v>0.51</v>
      </c>
      <c r="N842">
        <v>13</v>
      </c>
      <c r="O842">
        <v>0.72</v>
      </c>
      <c r="P842" t="s">
        <v>24</v>
      </c>
    </row>
    <row r="843" spans="1:16" x14ac:dyDescent="0.35">
      <c r="A843" t="s">
        <v>869</v>
      </c>
      <c r="B843">
        <v>842</v>
      </c>
      <c r="C843">
        <v>25</v>
      </c>
      <c r="D843" t="s">
        <v>32</v>
      </c>
      <c r="E843" t="s">
        <v>46</v>
      </c>
      <c r="F843">
        <v>2.0099999999999998</v>
      </c>
      <c r="G843">
        <v>6</v>
      </c>
      <c r="H843">
        <v>65.2</v>
      </c>
      <c r="I843">
        <v>0.74</v>
      </c>
      <c r="J843" t="s">
        <v>28</v>
      </c>
      <c r="K843">
        <v>13</v>
      </c>
      <c r="L843">
        <v>53</v>
      </c>
      <c r="M843">
        <v>0.91</v>
      </c>
      <c r="N843">
        <v>6</v>
      </c>
      <c r="O843">
        <v>0.51</v>
      </c>
      <c r="P843" t="s">
        <v>19</v>
      </c>
    </row>
    <row r="844" spans="1:16" x14ac:dyDescent="0.35">
      <c r="A844" t="s">
        <v>870</v>
      </c>
      <c r="B844">
        <v>843</v>
      </c>
      <c r="C844">
        <v>18</v>
      </c>
      <c r="D844" t="s">
        <v>16</v>
      </c>
      <c r="E844" t="s">
        <v>30</v>
      </c>
      <c r="F844">
        <v>2.93</v>
      </c>
      <c r="G844">
        <v>6</v>
      </c>
      <c r="H844">
        <v>85.7</v>
      </c>
      <c r="I844">
        <v>0.73</v>
      </c>
      <c r="J844" t="s">
        <v>23</v>
      </c>
      <c r="K844">
        <v>2</v>
      </c>
      <c r="L844">
        <v>23</v>
      </c>
      <c r="M844">
        <v>0.94</v>
      </c>
      <c r="N844">
        <v>6</v>
      </c>
      <c r="O844">
        <v>0.57999999999999996</v>
      </c>
      <c r="P844" t="s">
        <v>19</v>
      </c>
    </row>
    <row r="845" spans="1:16" x14ac:dyDescent="0.35">
      <c r="A845" t="s">
        <v>871</v>
      </c>
      <c r="B845">
        <v>844</v>
      </c>
      <c r="C845">
        <v>24</v>
      </c>
      <c r="D845" t="s">
        <v>16</v>
      </c>
      <c r="E845" t="s">
        <v>17</v>
      </c>
      <c r="F845">
        <v>3.14</v>
      </c>
      <c r="G845">
        <v>5</v>
      </c>
      <c r="H845">
        <v>67.900000000000006</v>
      </c>
      <c r="I845">
        <v>0.99</v>
      </c>
      <c r="J845" t="s">
        <v>28</v>
      </c>
      <c r="K845">
        <v>0</v>
      </c>
      <c r="L845">
        <v>24</v>
      </c>
      <c r="M845">
        <v>0.93</v>
      </c>
      <c r="N845">
        <v>8</v>
      </c>
      <c r="O845">
        <v>0.55000000000000004</v>
      </c>
      <c r="P845" t="s">
        <v>41</v>
      </c>
    </row>
    <row r="846" spans="1:16" x14ac:dyDescent="0.35">
      <c r="A846" t="s">
        <v>872</v>
      </c>
      <c r="B846">
        <v>845</v>
      </c>
      <c r="C846">
        <v>22</v>
      </c>
      <c r="D846" t="s">
        <v>32</v>
      </c>
      <c r="E846" t="s">
        <v>30</v>
      </c>
      <c r="F846">
        <v>2.61</v>
      </c>
      <c r="G846">
        <v>4</v>
      </c>
      <c r="H846">
        <v>63.9</v>
      </c>
      <c r="I846">
        <v>0.86</v>
      </c>
      <c r="J846" t="s">
        <v>23</v>
      </c>
      <c r="K846">
        <v>25</v>
      </c>
      <c r="L846">
        <v>25</v>
      </c>
      <c r="M846">
        <v>0.69</v>
      </c>
      <c r="N846">
        <v>2</v>
      </c>
      <c r="O846">
        <v>0.62</v>
      </c>
      <c r="P846" t="s">
        <v>24</v>
      </c>
    </row>
    <row r="847" spans="1:16" x14ac:dyDescent="0.35">
      <c r="A847" t="s">
        <v>873</v>
      </c>
      <c r="B847">
        <v>846</v>
      </c>
      <c r="C847">
        <v>22</v>
      </c>
      <c r="D847" t="s">
        <v>21</v>
      </c>
      <c r="E847" t="s">
        <v>22</v>
      </c>
      <c r="F847">
        <v>2.64</v>
      </c>
      <c r="G847">
        <v>4</v>
      </c>
      <c r="H847">
        <v>66.7</v>
      </c>
      <c r="I847">
        <v>0.61</v>
      </c>
      <c r="J847" t="s">
        <v>28</v>
      </c>
      <c r="K847">
        <v>23</v>
      </c>
      <c r="L847">
        <v>11</v>
      </c>
      <c r="M847">
        <v>0.73</v>
      </c>
      <c r="N847">
        <v>13</v>
      </c>
      <c r="O847">
        <v>0.55000000000000004</v>
      </c>
      <c r="P847" t="s">
        <v>19</v>
      </c>
    </row>
    <row r="848" spans="1:16" x14ac:dyDescent="0.35">
      <c r="A848" t="s">
        <v>874</v>
      </c>
      <c r="B848">
        <v>847</v>
      </c>
      <c r="C848">
        <v>19</v>
      </c>
      <c r="D848" t="s">
        <v>21</v>
      </c>
      <c r="E848" t="s">
        <v>30</v>
      </c>
      <c r="F848">
        <v>3.92</v>
      </c>
      <c r="G848">
        <v>3</v>
      </c>
      <c r="H848">
        <v>96.9</v>
      </c>
      <c r="I848">
        <v>0.77</v>
      </c>
      <c r="J848" t="s">
        <v>28</v>
      </c>
      <c r="K848">
        <v>34</v>
      </c>
      <c r="L848">
        <v>39</v>
      </c>
      <c r="M848">
        <v>0.51</v>
      </c>
      <c r="N848">
        <v>16</v>
      </c>
      <c r="O848">
        <v>0.85</v>
      </c>
      <c r="P848" t="s">
        <v>24</v>
      </c>
    </row>
    <row r="849" spans="1:16" x14ac:dyDescent="0.35">
      <c r="A849" t="s">
        <v>875</v>
      </c>
      <c r="B849">
        <v>848</v>
      </c>
      <c r="C849">
        <v>19</v>
      </c>
      <c r="D849" t="s">
        <v>16</v>
      </c>
      <c r="E849" t="s">
        <v>17</v>
      </c>
      <c r="F849">
        <v>3.78</v>
      </c>
      <c r="G849">
        <v>3</v>
      </c>
      <c r="H849">
        <v>92.9</v>
      </c>
      <c r="I849">
        <v>0.95</v>
      </c>
      <c r="J849" t="s">
        <v>23</v>
      </c>
      <c r="K849">
        <v>13</v>
      </c>
      <c r="L849">
        <v>39</v>
      </c>
      <c r="M849">
        <v>0.7</v>
      </c>
      <c r="N849">
        <v>17</v>
      </c>
      <c r="O849">
        <v>0.51</v>
      </c>
      <c r="P849" t="s">
        <v>41</v>
      </c>
    </row>
    <row r="850" spans="1:16" x14ac:dyDescent="0.35">
      <c r="A850" t="s">
        <v>876</v>
      </c>
      <c r="B850">
        <v>849</v>
      </c>
      <c r="C850">
        <v>24</v>
      </c>
      <c r="D850" t="s">
        <v>21</v>
      </c>
      <c r="E850" t="s">
        <v>22</v>
      </c>
      <c r="F850">
        <v>3.7</v>
      </c>
      <c r="G850">
        <v>3</v>
      </c>
      <c r="H850">
        <v>74.2</v>
      </c>
      <c r="I850">
        <v>0.72</v>
      </c>
      <c r="J850" t="s">
        <v>23</v>
      </c>
      <c r="K850">
        <v>2</v>
      </c>
      <c r="L850">
        <v>40</v>
      </c>
      <c r="M850">
        <v>0.73</v>
      </c>
      <c r="N850">
        <v>11</v>
      </c>
      <c r="O850">
        <v>0.81</v>
      </c>
      <c r="P850" t="s">
        <v>19</v>
      </c>
    </row>
    <row r="851" spans="1:16" x14ac:dyDescent="0.35">
      <c r="A851" t="s">
        <v>877</v>
      </c>
      <c r="B851">
        <v>850</v>
      </c>
      <c r="C851">
        <v>23</v>
      </c>
      <c r="D851" t="s">
        <v>16</v>
      </c>
      <c r="E851" t="s">
        <v>30</v>
      </c>
      <c r="F851">
        <v>2.81</v>
      </c>
      <c r="G851">
        <v>4</v>
      </c>
      <c r="H851">
        <v>86.2</v>
      </c>
      <c r="I851">
        <v>0.64</v>
      </c>
      <c r="J851" t="s">
        <v>18</v>
      </c>
      <c r="K851">
        <v>12</v>
      </c>
      <c r="L851">
        <v>86</v>
      </c>
      <c r="M851">
        <v>0.95</v>
      </c>
      <c r="N851">
        <v>13</v>
      </c>
      <c r="O851">
        <v>0.56999999999999995</v>
      </c>
      <c r="P851" t="s">
        <v>19</v>
      </c>
    </row>
    <row r="852" spans="1:16" x14ac:dyDescent="0.35">
      <c r="A852" t="s">
        <v>878</v>
      </c>
      <c r="B852">
        <v>851</v>
      </c>
      <c r="C852">
        <v>24</v>
      </c>
      <c r="D852" t="s">
        <v>16</v>
      </c>
      <c r="E852" t="s">
        <v>30</v>
      </c>
      <c r="F852">
        <v>2.0299999999999998</v>
      </c>
      <c r="G852">
        <v>3</v>
      </c>
      <c r="H852">
        <v>81.5</v>
      </c>
      <c r="I852">
        <v>0.9</v>
      </c>
      <c r="J852" t="s">
        <v>18</v>
      </c>
      <c r="K852">
        <v>13</v>
      </c>
      <c r="L852">
        <v>29</v>
      </c>
      <c r="M852">
        <v>0.95</v>
      </c>
      <c r="N852">
        <v>12</v>
      </c>
      <c r="O852">
        <v>0.97</v>
      </c>
      <c r="P852" t="s">
        <v>19</v>
      </c>
    </row>
    <row r="853" spans="1:16" x14ac:dyDescent="0.35">
      <c r="A853" t="s">
        <v>879</v>
      </c>
      <c r="B853">
        <v>852</v>
      </c>
      <c r="C853">
        <v>19</v>
      </c>
      <c r="D853" t="s">
        <v>32</v>
      </c>
      <c r="E853" t="s">
        <v>22</v>
      </c>
      <c r="F853">
        <v>2.16</v>
      </c>
      <c r="G853">
        <v>4</v>
      </c>
      <c r="H853">
        <v>87.1</v>
      </c>
      <c r="I853">
        <v>0.84</v>
      </c>
      <c r="J853" t="s">
        <v>23</v>
      </c>
      <c r="K853">
        <v>20</v>
      </c>
      <c r="L853">
        <v>58</v>
      </c>
      <c r="M853">
        <v>0.98</v>
      </c>
      <c r="N853">
        <v>13</v>
      </c>
      <c r="O853">
        <v>0.97</v>
      </c>
      <c r="P853" t="s">
        <v>19</v>
      </c>
    </row>
    <row r="854" spans="1:16" x14ac:dyDescent="0.35">
      <c r="A854" t="s">
        <v>880</v>
      </c>
      <c r="B854">
        <v>853</v>
      </c>
      <c r="C854">
        <v>22</v>
      </c>
      <c r="D854" t="s">
        <v>32</v>
      </c>
      <c r="E854" t="s">
        <v>46</v>
      </c>
      <c r="F854">
        <v>2.62</v>
      </c>
      <c r="G854">
        <v>4</v>
      </c>
      <c r="H854">
        <v>87.3</v>
      </c>
      <c r="I854">
        <v>0.83</v>
      </c>
      <c r="J854" t="s">
        <v>18</v>
      </c>
      <c r="K854">
        <v>25</v>
      </c>
      <c r="L854">
        <v>44</v>
      </c>
      <c r="M854">
        <v>0.94</v>
      </c>
      <c r="N854">
        <v>8</v>
      </c>
      <c r="O854">
        <v>0.61</v>
      </c>
      <c r="P854" t="s">
        <v>24</v>
      </c>
    </row>
    <row r="855" spans="1:16" x14ac:dyDescent="0.35">
      <c r="A855" t="s">
        <v>881</v>
      </c>
      <c r="B855">
        <v>854</v>
      </c>
      <c r="C855">
        <v>20</v>
      </c>
      <c r="D855" t="s">
        <v>32</v>
      </c>
      <c r="E855" t="s">
        <v>22</v>
      </c>
      <c r="F855">
        <v>2.0299999999999998</v>
      </c>
      <c r="G855">
        <v>6</v>
      </c>
      <c r="H855">
        <v>85.1</v>
      </c>
      <c r="I855">
        <v>0.62</v>
      </c>
      <c r="J855" t="s">
        <v>23</v>
      </c>
      <c r="K855">
        <v>2</v>
      </c>
      <c r="L855">
        <v>32</v>
      </c>
      <c r="M855">
        <v>0.5</v>
      </c>
      <c r="N855">
        <v>18</v>
      </c>
      <c r="O855">
        <v>0.81</v>
      </c>
      <c r="P855" t="s">
        <v>19</v>
      </c>
    </row>
    <row r="856" spans="1:16" x14ac:dyDescent="0.35">
      <c r="A856" t="s">
        <v>882</v>
      </c>
      <c r="B856">
        <v>855</v>
      </c>
      <c r="C856">
        <v>24</v>
      </c>
      <c r="D856" t="s">
        <v>16</v>
      </c>
      <c r="E856" t="s">
        <v>46</v>
      </c>
      <c r="F856">
        <v>2.0299999999999998</v>
      </c>
      <c r="G856">
        <v>3</v>
      </c>
      <c r="H856">
        <v>70.599999999999994</v>
      </c>
      <c r="I856">
        <v>0.66</v>
      </c>
      <c r="J856" t="s">
        <v>18</v>
      </c>
      <c r="K856">
        <v>39</v>
      </c>
      <c r="L856">
        <v>70</v>
      </c>
      <c r="M856">
        <v>0.82</v>
      </c>
      <c r="N856">
        <v>1</v>
      </c>
      <c r="O856">
        <v>0.51</v>
      </c>
      <c r="P856" t="s">
        <v>19</v>
      </c>
    </row>
    <row r="857" spans="1:16" x14ac:dyDescent="0.35">
      <c r="A857" t="s">
        <v>883</v>
      </c>
      <c r="B857">
        <v>856</v>
      </c>
      <c r="C857">
        <v>22</v>
      </c>
      <c r="D857" t="s">
        <v>32</v>
      </c>
      <c r="E857" t="s">
        <v>17</v>
      </c>
      <c r="F857">
        <v>3.83</v>
      </c>
      <c r="G857">
        <v>6</v>
      </c>
      <c r="H857">
        <v>61.6</v>
      </c>
      <c r="I857">
        <v>0.85</v>
      </c>
      <c r="J857" t="s">
        <v>28</v>
      </c>
      <c r="K857">
        <v>3</v>
      </c>
      <c r="L857">
        <v>64</v>
      </c>
      <c r="M857">
        <v>0.53</v>
      </c>
      <c r="N857">
        <v>10</v>
      </c>
      <c r="O857">
        <v>0.97</v>
      </c>
      <c r="P857" t="s">
        <v>41</v>
      </c>
    </row>
    <row r="858" spans="1:16" x14ac:dyDescent="0.35">
      <c r="A858" t="s">
        <v>884</v>
      </c>
      <c r="B858">
        <v>857</v>
      </c>
      <c r="C858">
        <v>20</v>
      </c>
      <c r="D858" t="s">
        <v>21</v>
      </c>
      <c r="E858" t="s">
        <v>17</v>
      </c>
      <c r="F858">
        <v>3.41</v>
      </c>
      <c r="G858">
        <v>5</v>
      </c>
      <c r="H858">
        <v>78.2</v>
      </c>
      <c r="I858">
        <v>0.68</v>
      </c>
      <c r="J858" t="s">
        <v>18</v>
      </c>
      <c r="K858">
        <v>35</v>
      </c>
      <c r="L858">
        <v>76</v>
      </c>
      <c r="M858">
        <v>0.64</v>
      </c>
      <c r="N858">
        <v>16</v>
      </c>
      <c r="O858">
        <v>0.76</v>
      </c>
      <c r="P858" t="s">
        <v>19</v>
      </c>
    </row>
    <row r="859" spans="1:16" x14ac:dyDescent="0.35">
      <c r="A859" t="s">
        <v>885</v>
      </c>
      <c r="B859">
        <v>858</v>
      </c>
      <c r="C859">
        <v>20</v>
      </c>
      <c r="D859" t="s">
        <v>21</v>
      </c>
      <c r="E859" t="s">
        <v>22</v>
      </c>
      <c r="F859">
        <v>2.62</v>
      </c>
      <c r="G859">
        <v>5</v>
      </c>
      <c r="H859">
        <v>95.6</v>
      </c>
      <c r="I859">
        <v>0.8</v>
      </c>
      <c r="J859" t="s">
        <v>28</v>
      </c>
      <c r="K859">
        <v>0</v>
      </c>
      <c r="L859">
        <v>17</v>
      </c>
      <c r="M859">
        <v>0.79</v>
      </c>
      <c r="N859">
        <v>1</v>
      </c>
      <c r="O859">
        <v>0.52</v>
      </c>
      <c r="P859" t="s">
        <v>24</v>
      </c>
    </row>
    <row r="860" spans="1:16" x14ac:dyDescent="0.35">
      <c r="A860" t="s">
        <v>886</v>
      </c>
      <c r="B860">
        <v>859</v>
      </c>
      <c r="C860">
        <v>19</v>
      </c>
      <c r="D860" t="s">
        <v>16</v>
      </c>
      <c r="E860" t="s">
        <v>22</v>
      </c>
      <c r="F860">
        <v>2.27</v>
      </c>
      <c r="G860">
        <v>5</v>
      </c>
      <c r="H860">
        <v>82.8</v>
      </c>
      <c r="I860">
        <v>0.82</v>
      </c>
      <c r="J860" t="s">
        <v>28</v>
      </c>
      <c r="K860">
        <v>39</v>
      </c>
      <c r="L860">
        <v>49</v>
      </c>
      <c r="M860">
        <v>0.85</v>
      </c>
      <c r="N860">
        <v>18</v>
      </c>
      <c r="O860">
        <v>0.67</v>
      </c>
      <c r="P860" t="s">
        <v>19</v>
      </c>
    </row>
    <row r="861" spans="1:16" x14ac:dyDescent="0.35">
      <c r="A861" t="s">
        <v>887</v>
      </c>
      <c r="B861">
        <v>860</v>
      </c>
      <c r="C861">
        <v>24</v>
      </c>
      <c r="D861" t="s">
        <v>16</v>
      </c>
      <c r="E861" t="s">
        <v>17</v>
      </c>
      <c r="F861">
        <v>3.02</v>
      </c>
      <c r="G861">
        <v>4</v>
      </c>
      <c r="H861">
        <v>93.3</v>
      </c>
      <c r="I861">
        <v>0.71</v>
      </c>
      <c r="J861" t="s">
        <v>18</v>
      </c>
      <c r="K861">
        <v>32</v>
      </c>
      <c r="L861">
        <v>68</v>
      </c>
      <c r="M861">
        <v>0.83</v>
      </c>
      <c r="N861">
        <v>6</v>
      </c>
      <c r="O861">
        <v>0.54</v>
      </c>
      <c r="P861" t="s">
        <v>19</v>
      </c>
    </row>
    <row r="862" spans="1:16" x14ac:dyDescent="0.35">
      <c r="A862" t="s">
        <v>888</v>
      </c>
      <c r="B862">
        <v>861</v>
      </c>
      <c r="C862">
        <v>21</v>
      </c>
      <c r="D862" t="s">
        <v>32</v>
      </c>
      <c r="E862" t="s">
        <v>46</v>
      </c>
      <c r="F862">
        <v>2.0099999999999998</v>
      </c>
      <c r="G862">
        <v>4</v>
      </c>
      <c r="H862">
        <v>99.7</v>
      </c>
      <c r="I862">
        <v>0.98</v>
      </c>
      <c r="J862" t="s">
        <v>23</v>
      </c>
      <c r="K862">
        <v>6</v>
      </c>
      <c r="L862">
        <v>41</v>
      </c>
      <c r="M862">
        <v>0.52</v>
      </c>
      <c r="N862">
        <v>17</v>
      </c>
      <c r="O862">
        <v>0.7</v>
      </c>
      <c r="P862" t="s">
        <v>19</v>
      </c>
    </row>
    <row r="863" spans="1:16" x14ac:dyDescent="0.35">
      <c r="A863" t="s">
        <v>889</v>
      </c>
      <c r="B863">
        <v>862</v>
      </c>
      <c r="C863">
        <v>18</v>
      </c>
      <c r="D863" t="s">
        <v>16</v>
      </c>
      <c r="E863" t="s">
        <v>17</v>
      </c>
      <c r="F863">
        <v>3.88</v>
      </c>
      <c r="G863">
        <v>4</v>
      </c>
      <c r="H863">
        <v>66.5</v>
      </c>
      <c r="I863">
        <v>0.94</v>
      </c>
      <c r="J863" t="s">
        <v>28</v>
      </c>
      <c r="K863">
        <v>10</v>
      </c>
      <c r="L863">
        <v>16</v>
      </c>
      <c r="M863">
        <v>0.55000000000000004</v>
      </c>
      <c r="N863">
        <v>12</v>
      </c>
      <c r="O863">
        <v>0.83</v>
      </c>
      <c r="P863" t="s">
        <v>41</v>
      </c>
    </row>
    <row r="864" spans="1:16" x14ac:dyDescent="0.35">
      <c r="A864" t="s">
        <v>890</v>
      </c>
      <c r="B864">
        <v>863</v>
      </c>
      <c r="C864">
        <v>19</v>
      </c>
      <c r="D864" t="s">
        <v>16</v>
      </c>
      <c r="E864" t="s">
        <v>22</v>
      </c>
      <c r="F864">
        <v>2.83</v>
      </c>
      <c r="G864">
        <v>3</v>
      </c>
      <c r="H864">
        <v>87.7</v>
      </c>
      <c r="I864">
        <v>0.89</v>
      </c>
      <c r="J864" t="s">
        <v>28</v>
      </c>
      <c r="K864">
        <v>26</v>
      </c>
      <c r="L864">
        <v>11</v>
      </c>
      <c r="M864">
        <v>0.56000000000000005</v>
      </c>
      <c r="N864">
        <v>4</v>
      </c>
      <c r="O864">
        <v>0.73</v>
      </c>
      <c r="P864" t="s">
        <v>24</v>
      </c>
    </row>
    <row r="865" spans="1:16" x14ac:dyDescent="0.35">
      <c r="A865" t="s">
        <v>891</v>
      </c>
      <c r="B865">
        <v>864</v>
      </c>
      <c r="C865">
        <v>19</v>
      </c>
      <c r="D865" t="s">
        <v>21</v>
      </c>
      <c r="E865" t="s">
        <v>17</v>
      </c>
      <c r="F865">
        <v>2.8</v>
      </c>
      <c r="G865">
        <v>6</v>
      </c>
      <c r="H865">
        <v>87</v>
      </c>
      <c r="I865">
        <v>0.63</v>
      </c>
      <c r="J865" t="s">
        <v>18</v>
      </c>
      <c r="K865">
        <v>13</v>
      </c>
      <c r="L865">
        <v>15</v>
      </c>
      <c r="M865">
        <v>0.55000000000000004</v>
      </c>
      <c r="N865">
        <v>17</v>
      </c>
      <c r="O865">
        <v>0.69</v>
      </c>
      <c r="P865" t="s">
        <v>19</v>
      </c>
    </row>
    <row r="866" spans="1:16" x14ac:dyDescent="0.35">
      <c r="A866" t="s">
        <v>892</v>
      </c>
      <c r="B866">
        <v>865</v>
      </c>
      <c r="C866">
        <v>21</v>
      </c>
      <c r="D866" t="s">
        <v>21</v>
      </c>
      <c r="E866" t="s">
        <v>22</v>
      </c>
      <c r="F866">
        <v>2.78</v>
      </c>
      <c r="G866">
        <v>4</v>
      </c>
      <c r="H866">
        <v>99.2</v>
      </c>
      <c r="I866">
        <v>0.64</v>
      </c>
      <c r="J866" t="s">
        <v>23</v>
      </c>
      <c r="K866">
        <v>21</v>
      </c>
      <c r="L866">
        <v>45</v>
      </c>
      <c r="M866">
        <v>0.59</v>
      </c>
      <c r="N866">
        <v>15</v>
      </c>
      <c r="O866">
        <v>0.56000000000000005</v>
      </c>
      <c r="P866" t="s">
        <v>19</v>
      </c>
    </row>
    <row r="867" spans="1:16" x14ac:dyDescent="0.35">
      <c r="A867" t="s">
        <v>893</v>
      </c>
      <c r="B867">
        <v>866</v>
      </c>
      <c r="C867">
        <v>18</v>
      </c>
      <c r="D867" t="s">
        <v>32</v>
      </c>
      <c r="E867" t="s">
        <v>22</v>
      </c>
      <c r="F867">
        <v>2.14</v>
      </c>
      <c r="G867">
        <v>6</v>
      </c>
      <c r="H867">
        <v>99.4</v>
      </c>
      <c r="I867">
        <v>0.8</v>
      </c>
      <c r="J867" t="s">
        <v>23</v>
      </c>
      <c r="K867">
        <v>15</v>
      </c>
      <c r="L867">
        <v>41</v>
      </c>
      <c r="M867">
        <v>0.84</v>
      </c>
      <c r="N867">
        <v>14</v>
      </c>
      <c r="O867">
        <v>0.62</v>
      </c>
      <c r="P867" t="s">
        <v>19</v>
      </c>
    </row>
    <row r="868" spans="1:16" x14ac:dyDescent="0.35">
      <c r="A868" t="s">
        <v>894</v>
      </c>
      <c r="B868">
        <v>867</v>
      </c>
      <c r="C868">
        <v>22</v>
      </c>
      <c r="D868" t="s">
        <v>16</v>
      </c>
      <c r="E868" t="s">
        <v>17</v>
      </c>
      <c r="F868">
        <v>3.28</v>
      </c>
      <c r="G868">
        <v>6</v>
      </c>
      <c r="H868">
        <v>87.5</v>
      </c>
      <c r="I868">
        <v>0.66</v>
      </c>
      <c r="J868" t="s">
        <v>18</v>
      </c>
      <c r="K868">
        <v>11</v>
      </c>
      <c r="L868">
        <v>54</v>
      </c>
      <c r="M868">
        <v>0.92</v>
      </c>
      <c r="N868">
        <v>7</v>
      </c>
      <c r="O868">
        <v>0.55000000000000004</v>
      </c>
      <c r="P868" t="s">
        <v>19</v>
      </c>
    </row>
    <row r="869" spans="1:16" x14ac:dyDescent="0.35">
      <c r="A869" t="s">
        <v>895</v>
      </c>
      <c r="B869">
        <v>868</v>
      </c>
      <c r="C869">
        <v>23</v>
      </c>
      <c r="D869" t="s">
        <v>16</v>
      </c>
      <c r="E869" t="s">
        <v>46</v>
      </c>
      <c r="F869">
        <v>3.47</v>
      </c>
      <c r="G869">
        <v>6</v>
      </c>
      <c r="H869">
        <v>69.7</v>
      </c>
      <c r="I869">
        <v>0.99</v>
      </c>
      <c r="J869" t="s">
        <v>23</v>
      </c>
      <c r="K869">
        <v>9</v>
      </c>
      <c r="L869">
        <v>51</v>
      </c>
      <c r="M869">
        <v>0.7</v>
      </c>
      <c r="N869">
        <v>14</v>
      </c>
      <c r="O869">
        <v>0.9</v>
      </c>
      <c r="P869" t="s">
        <v>41</v>
      </c>
    </row>
    <row r="870" spans="1:16" x14ac:dyDescent="0.35">
      <c r="A870" t="s">
        <v>896</v>
      </c>
      <c r="B870">
        <v>869</v>
      </c>
      <c r="C870">
        <v>24</v>
      </c>
      <c r="D870" t="s">
        <v>21</v>
      </c>
      <c r="E870" t="s">
        <v>30</v>
      </c>
      <c r="F870">
        <v>3.35</v>
      </c>
      <c r="G870">
        <v>3</v>
      </c>
      <c r="H870">
        <v>91.9</v>
      </c>
      <c r="I870">
        <v>0.66</v>
      </c>
      <c r="J870" t="s">
        <v>18</v>
      </c>
      <c r="K870">
        <v>23</v>
      </c>
      <c r="L870">
        <v>62</v>
      </c>
      <c r="M870">
        <v>0.85</v>
      </c>
      <c r="N870">
        <v>0</v>
      </c>
      <c r="O870">
        <v>0.56999999999999995</v>
      </c>
      <c r="P870" t="s">
        <v>19</v>
      </c>
    </row>
    <row r="871" spans="1:16" x14ac:dyDescent="0.35">
      <c r="A871" t="s">
        <v>897</v>
      </c>
      <c r="B871">
        <v>870</v>
      </c>
      <c r="C871">
        <v>23</v>
      </c>
      <c r="D871" t="s">
        <v>16</v>
      </c>
      <c r="E871" t="s">
        <v>17</v>
      </c>
      <c r="F871">
        <v>2.2799999999999998</v>
      </c>
      <c r="G871">
        <v>3</v>
      </c>
      <c r="H871">
        <v>64.3</v>
      </c>
      <c r="I871">
        <v>0.79</v>
      </c>
      <c r="J871" t="s">
        <v>18</v>
      </c>
      <c r="K871">
        <v>17</v>
      </c>
      <c r="L871">
        <v>18</v>
      </c>
      <c r="M871">
        <v>0.6</v>
      </c>
      <c r="N871">
        <v>16</v>
      </c>
      <c r="O871">
        <v>0.8</v>
      </c>
      <c r="P871" t="s">
        <v>19</v>
      </c>
    </row>
    <row r="872" spans="1:16" x14ac:dyDescent="0.35">
      <c r="A872" t="s">
        <v>898</v>
      </c>
      <c r="B872">
        <v>871</v>
      </c>
      <c r="C872">
        <v>22</v>
      </c>
      <c r="D872" t="s">
        <v>21</v>
      </c>
      <c r="E872" t="s">
        <v>30</v>
      </c>
      <c r="F872">
        <v>3.16</v>
      </c>
      <c r="G872">
        <v>5</v>
      </c>
      <c r="H872">
        <v>91.2</v>
      </c>
      <c r="I872">
        <v>0.75</v>
      </c>
      <c r="J872" t="s">
        <v>18</v>
      </c>
      <c r="K872">
        <v>21</v>
      </c>
      <c r="L872">
        <v>84</v>
      </c>
      <c r="M872">
        <v>0.99</v>
      </c>
      <c r="N872">
        <v>14</v>
      </c>
      <c r="O872">
        <v>0.67</v>
      </c>
      <c r="P872" t="s">
        <v>24</v>
      </c>
    </row>
    <row r="873" spans="1:16" x14ac:dyDescent="0.35">
      <c r="A873" t="s">
        <v>899</v>
      </c>
      <c r="B873">
        <v>872</v>
      </c>
      <c r="C873">
        <v>25</v>
      </c>
      <c r="D873" t="s">
        <v>32</v>
      </c>
      <c r="E873" t="s">
        <v>17</v>
      </c>
      <c r="F873">
        <v>3.14</v>
      </c>
      <c r="G873">
        <v>5</v>
      </c>
      <c r="H873">
        <v>96.4</v>
      </c>
      <c r="I873">
        <v>0.86</v>
      </c>
      <c r="J873" t="s">
        <v>28</v>
      </c>
      <c r="K873">
        <v>8</v>
      </c>
      <c r="L873">
        <v>84</v>
      </c>
      <c r="M873">
        <v>0.67</v>
      </c>
      <c r="N873">
        <v>13</v>
      </c>
      <c r="O873">
        <v>0.61</v>
      </c>
      <c r="P873" t="s">
        <v>41</v>
      </c>
    </row>
    <row r="874" spans="1:16" x14ac:dyDescent="0.35">
      <c r="A874" t="s">
        <v>900</v>
      </c>
      <c r="B874">
        <v>873</v>
      </c>
      <c r="C874">
        <v>19</v>
      </c>
      <c r="D874" t="s">
        <v>21</v>
      </c>
      <c r="E874" t="s">
        <v>30</v>
      </c>
      <c r="F874">
        <v>3.74</v>
      </c>
      <c r="G874">
        <v>6</v>
      </c>
      <c r="H874">
        <v>75.3</v>
      </c>
      <c r="I874">
        <v>0.65</v>
      </c>
      <c r="J874" t="s">
        <v>28</v>
      </c>
      <c r="K874">
        <v>16</v>
      </c>
      <c r="L874">
        <v>58</v>
      </c>
      <c r="M874">
        <v>0.92</v>
      </c>
      <c r="N874">
        <v>13</v>
      </c>
      <c r="O874">
        <v>0.82</v>
      </c>
      <c r="P874" t="s">
        <v>19</v>
      </c>
    </row>
    <row r="875" spans="1:16" x14ac:dyDescent="0.35">
      <c r="A875" t="s">
        <v>901</v>
      </c>
      <c r="B875">
        <v>874</v>
      </c>
      <c r="C875">
        <v>18</v>
      </c>
      <c r="D875" t="s">
        <v>16</v>
      </c>
      <c r="E875" t="s">
        <v>46</v>
      </c>
      <c r="F875">
        <v>2.76</v>
      </c>
      <c r="G875">
        <v>5</v>
      </c>
      <c r="H875">
        <v>85.2</v>
      </c>
      <c r="I875">
        <v>0.77</v>
      </c>
      <c r="J875" t="s">
        <v>28</v>
      </c>
      <c r="K875">
        <v>37</v>
      </c>
      <c r="L875">
        <v>11</v>
      </c>
      <c r="M875">
        <v>0.97</v>
      </c>
      <c r="N875">
        <v>9</v>
      </c>
      <c r="O875">
        <v>0.73</v>
      </c>
      <c r="P875" t="s">
        <v>24</v>
      </c>
    </row>
    <row r="876" spans="1:16" x14ac:dyDescent="0.35">
      <c r="A876" t="s">
        <v>902</v>
      </c>
      <c r="B876">
        <v>875</v>
      </c>
      <c r="C876">
        <v>19</v>
      </c>
      <c r="D876" t="s">
        <v>32</v>
      </c>
      <c r="E876" t="s">
        <v>46</v>
      </c>
      <c r="F876">
        <v>2.74</v>
      </c>
      <c r="G876">
        <v>6</v>
      </c>
      <c r="H876">
        <v>77.2</v>
      </c>
      <c r="I876">
        <v>0.71</v>
      </c>
      <c r="J876" t="s">
        <v>18</v>
      </c>
      <c r="K876">
        <v>39</v>
      </c>
      <c r="L876">
        <v>76</v>
      </c>
      <c r="M876">
        <v>0.93</v>
      </c>
      <c r="N876">
        <v>1</v>
      </c>
      <c r="O876">
        <v>0.7</v>
      </c>
      <c r="P876" t="s">
        <v>19</v>
      </c>
    </row>
    <row r="877" spans="1:16" x14ac:dyDescent="0.35">
      <c r="A877" t="s">
        <v>903</v>
      </c>
      <c r="B877">
        <v>876</v>
      </c>
      <c r="C877">
        <v>20</v>
      </c>
      <c r="D877" t="s">
        <v>21</v>
      </c>
      <c r="E877" t="s">
        <v>17</v>
      </c>
      <c r="F877">
        <v>3.24</v>
      </c>
      <c r="G877">
        <v>3</v>
      </c>
      <c r="H877">
        <v>77.5</v>
      </c>
      <c r="I877">
        <v>0.96</v>
      </c>
      <c r="J877" t="s">
        <v>28</v>
      </c>
      <c r="K877">
        <v>12</v>
      </c>
      <c r="L877">
        <v>20</v>
      </c>
      <c r="M877">
        <v>0.53</v>
      </c>
      <c r="N877">
        <v>5</v>
      </c>
      <c r="O877">
        <v>0.8</v>
      </c>
      <c r="P877" t="s">
        <v>41</v>
      </c>
    </row>
    <row r="878" spans="1:16" x14ac:dyDescent="0.35">
      <c r="A878" t="s">
        <v>904</v>
      </c>
      <c r="B878">
        <v>877</v>
      </c>
      <c r="C878">
        <v>19</v>
      </c>
      <c r="D878" t="s">
        <v>21</v>
      </c>
      <c r="E878" t="s">
        <v>22</v>
      </c>
      <c r="F878">
        <v>3.27</v>
      </c>
      <c r="G878">
        <v>3</v>
      </c>
      <c r="H878">
        <v>72.400000000000006</v>
      </c>
      <c r="I878">
        <v>0.62</v>
      </c>
      <c r="J878" t="s">
        <v>28</v>
      </c>
      <c r="K878">
        <v>36</v>
      </c>
      <c r="L878">
        <v>59</v>
      </c>
      <c r="M878">
        <v>0.83</v>
      </c>
      <c r="N878">
        <v>16</v>
      </c>
      <c r="O878">
        <v>0.75</v>
      </c>
      <c r="P878" t="s">
        <v>19</v>
      </c>
    </row>
    <row r="879" spans="1:16" x14ac:dyDescent="0.35">
      <c r="A879" t="s">
        <v>905</v>
      </c>
      <c r="B879">
        <v>878</v>
      </c>
      <c r="C879">
        <v>19</v>
      </c>
      <c r="D879" t="s">
        <v>32</v>
      </c>
      <c r="E879" t="s">
        <v>30</v>
      </c>
      <c r="F879">
        <v>2.94</v>
      </c>
      <c r="G879">
        <v>3</v>
      </c>
      <c r="H879">
        <v>90.5</v>
      </c>
      <c r="I879">
        <v>0.97</v>
      </c>
      <c r="J879" t="s">
        <v>28</v>
      </c>
      <c r="K879">
        <v>5</v>
      </c>
      <c r="L879">
        <v>44</v>
      </c>
      <c r="M879">
        <v>0.56000000000000005</v>
      </c>
      <c r="N879">
        <v>4</v>
      </c>
      <c r="O879">
        <v>0.65</v>
      </c>
      <c r="P879" t="s">
        <v>24</v>
      </c>
    </row>
    <row r="880" spans="1:16" x14ac:dyDescent="0.35">
      <c r="A880" t="s">
        <v>906</v>
      </c>
      <c r="B880">
        <v>879</v>
      </c>
      <c r="C880">
        <v>22</v>
      </c>
      <c r="D880" t="s">
        <v>32</v>
      </c>
      <c r="E880" t="s">
        <v>22</v>
      </c>
      <c r="F880">
        <v>2.89</v>
      </c>
      <c r="G880">
        <v>4</v>
      </c>
      <c r="H880">
        <v>97.4</v>
      </c>
      <c r="I880">
        <v>0.93</v>
      </c>
      <c r="J880" t="s">
        <v>18</v>
      </c>
      <c r="K880">
        <v>20</v>
      </c>
      <c r="L880">
        <v>24</v>
      </c>
      <c r="M880">
        <v>0.5</v>
      </c>
      <c r="N880">
        <v>4</v>
      </c>
      <c r="O880">
        <v>0.78</v>
      </c>
      <c r="P880" t="s">
        <v>24</v>
      </c>
    </row>
    <row r="881" spans="1:16" x14ac:dyDescent="0.35">
      <c r="A881" t="s">
        <v>907</v>
      </c>
      <c r="B881">
        <v>880</v>
      </c>
      <c r="C881">
        <v>22</v>
      </c>
      <c r="D881" t="s">
        <v>21</v>
      </c>
      <c r="E881" t="s">
        <v>22</v>
      </c>
      <c r="F881">
        <v>2.99</v>
      </c>
      <c r="G881">
        <v>6</v>
      </c>
      <c r="H881">
        <v>97.6</v>
      </c>
      <c r="I881">
        <v>0.72</v>
      </c>
      <c r="J881" t="s">
        <v>18</v>
      </c>
      <c r="K881">
        <v>35</v>
      </c>
      <c r="L881">
        <v>84</v>
      </c>
      <c r="M881">
        <v>0.53</v>
      </c>
      <c r="N881">
        <v>14</v>
      </c>
      <c r="O881">
        <v>0.83</v>
      </c>
      <c r="P881" t="s">
        <v>19</v>
      </c>
    </row>
    <row r="882" spans="1:16" x14ac:dyDescent="0.35">
      <c r="A882" t="s">
        <v>908</v>
      </c>
      <c r="B882">
        <v>881</v>
      </c>
      <c r="C882">
        <v>22</v>
      </c>
      <c r="D882" t="s">
        <v>16</v>
      </c>
      <c r="E882" t="s">
        <v>22</v>
      </c>
      <c r="F882">
        <v>3.72</v>
      </c>
      <c r="G882">
        <v>3</v>
      </c>
      <c r="H882">
        <v>67</v>
      </c>
      <c r="I882">
        <v>0.92</v>
      </c>
      <c r="J882" t="s">
        <v>18</v>
      </c>
      <c r="K882">
        <v>6</v>
      </c>
      <c r="L882">
        <v>40</v>
      </c>
      <c r="M882">
        <v>0.96</v>
      </c>
      <c r="N882">
        <v>14</v>
      </c>
      <c r="O882">
        <v>0.51</v>
      </c>
      <c r="P882" t="s">
        <v>41</v>
      </c>
    </row>
    <row r="883" spans="1:16" x14ac:dyDescent="0.35">
      <c r="A883" t="s">
        <v>909</v>
      </c>
      <c r="B883">
        <v>882</v>
      </c>
      <c r="C883">
        <v>23</v>
      </c>
      <c r="D883" t="s">
        <v>21</v>
      </c>
      <c r="E883" t="s">
        <v>46</v>
      </c>
      <c r="F883">
        <v>2.92</v>
      </c>
      <c r="G883">
        <v>6</v>
      </c>
      <c r="H883">
        <v>95</v>
      </c>
      <c r="I883">
        <v>0.61</v>
      </c>
      <c r="J883" t="s">
        <v>28</v>
      </c>
      <c r="K883">
        <v>35</v>
      </c>
      <c r="L883">
        <v>71</v>
      </c>
      <c r="M883">
        <v>0.95</v>
      </c>
      <c r="N883">
        <v>19</v>
      </c>
      <c r="O883">
        <v>0.73</v>
      </c>
      <c r="P883" t="s">
        <v>19</v>
      </c>
    </row>
    <row r="884" spans="1:16" x14ac:dyDescent="0.35">
      <c r="A884" t="s">
        <v>910</v>
      </c>
      <c r="B884">
        <v>883</v>
      </c>
      <c r="C884">
        <v>20</v>
      </c>
      <c r="D884" t="s">
        <v>32</v>
      </c>
      <c r="E884" t="s">
        <v>17</v>
      </c>
      <c r="F884">
        <v>3.88</v>
      </c>
      <c r="G884">
        <v>5</v>
      </c>
      <c r="H884">
        <v>89.5</v>
      </c>
      <c r="I884">
        <v>0.99</v>
      </c>
      <c r="J884" t="s">
        <v>23</v>
      </c>
      <c r="K884">
        <v>24</v>
      </c>
      <c r="L884">
        <v>37</v>
      </c>
      <c r="M884">
        <v>0.61</v>
      </c>
      <c r="N884">
        <v>10</v>
      </c>
      <c r="O884">
        <v>0.53</v>
      </c>
      <c r="P884" t="s">
        <v>41</v>
      </c>
    </row>
    <row r="885" spans="1:16" x14ac:dyDescent="0.35">
      <c r="A885" t="s">
        <v>911</v>
      </c>
      <c r="B885">
        <v>884</v>
      </c>
      <c r="C885">
        <v>25</v>
      </c>
      <c r="D885" t="s">
        <v>21</v>
      </c>
      <c r="E885" t="s">
        <v>17</v>
      </c>
      <c r="F885">
        <v>3.01</v>
      </c>
      <c r="G885">
        <v>5</v>
      </c>
      <c r="H885">
        <v>70.099999999999994</v>
      </c>
      <c r="I885">
        <v>0.81</v>
      </c>
      <c r="J885" t="s">
        <v>28</v>
      </c>
      <c r="K885">
        <v>10</v>
      </c>
      <c r="L885">
        <v>34</v>
      </c>
      <c r="M885">
        <v>0.77</v>
      </c>
      <c r="N885">
        <v>4</v>
      </c>
      <c r="O885">
        <v>0.59</v>
      </c>
      <c r="P885" t="s">
        <v>24</v>
      </c>
    </row>
    <row r="886" spans="1:16" x14ac:dyDescent="0.35">
      <c r="A886" t="s">
        <v>912</v>
      </c>
      <c r="B886">
        <v>885</v>
      </c>
      <c r="C886">
        <v>25</v>
      </c>
      <c r="D886" t="s">
        <v>32</v>
      </c>
      <c r="E886" t="s">
        <v>46</v>
      </c>
      <c r="F886">
        <v>3.9</v>
      </c>
      <c r="G886">
        <v>3</v>
      </c>
      <c r="H886">
        <v>62.7</v>
      </c>
      <c r="I886">
        <v>0.72</v>
      </c>
      <c r="J886" t="s">
        <v>28</v>
      </c>
      <c r="K886">
        <v>13</v>
      </c>
      <c r="L886">
        <v>34</v>
      </c>
      <c r="M886">
        <v>0.98</v>
      </c>
      <c r="N886">
        <v>0</v>
      </c>
      <c r="O886">
        <v>0.78</v>
      </c>
      <c r="P886" t="s">
        <v>19</v>
      </c>
    </row>
    <row r="887" spans="1:16" x14ac:dyDescent="0.35">
      <c r="A887" t="s">
        <v>913</v>
      </c>
      <c r="B887">
        <v>886</v>
      </c>
      <c r="C887">
        <v>22</v>
      </c>
      <c r="D887" t="s">
        <v>32</v>
      </c>
      <c r="E887" t="s">
        <v>46</v>
      </c>
      <c r="F887">
        <v>3.67</v>
      </c>
      <c r="G887">
        <v>6</v>
      </c>
      <c r="H887">
        <v>70.7</v>
      </c>
      <c r="I887">
        <v>0.75</v>
      </c>
      <c r="J887" t="s">
        <v>18</v>
      </c>
      <c r="K887">
        <v>28</v>
      </c>
      <c r="L887">
        <v>84</v>
      </c>
      <c r="M887">
        <v>0.75</v>
      </c>
      <c r="N887">
        <v>10</v>
      </c>
      <c r="O887">
        <v>0.93</v>
      </c>
      <c r="P887" t="s">
        <v>24</v>
      </c>
    </row>
    <row r="888" spans="1:16" x14ac:dyDescent="0.35">
      <c r="A888" t="s">
        <v>914</v>
      </c>
      <c r="B888">
        <v>887</v>
      </c>
      <c r="C888">
        <v>18</v>
      </c>
      <c r="D888" t="s">
        <v>16</v>
      </c>
      <c r="E888" t="s">
        <v>17</v>
      </c>
      <c r="F888">
        <v>2.72</v>
      </c>
      <c r="G888">
        <v>3</v>
      </c>
      <c r="H888">
        <v>96.5</v>
      </c>
      <c r="I888">
        <v>0.63</v>
      </c>
      <c r="J888" t="s">
        <v>18</v>
      </c>
      <c r="K888">
        <v>9</v>
      </c>
      <c r="L888">
        <v>10</v>
      </c>
      <c r="M888">
        <v>0.7</v>
      </c>
      <c r="N888">
        <v>10</v>
      </c>
      <c r="O888">
        <v>0.94</v>
      </c>
      <c r="P888" t="s">
        <v>19</v>
      </c>
    </row>
    <row r="889" spans="1:16" x14ac:dyDescent="0.35">
      <c r="A889" t="s">
        <v>915</v>
      </c>
      <c r="B889">
        <v>888</v>
      </c>
      <c r="C889">
        <v>23</v>
      </c>
      <c r="D889" t="s">
        <v>32</v>
      </c>
      <c r="E889" t="s">
        <v>22</v>
      </c>
      <c r="F889">
        <v>3.73</v>
      </c>
      <c r="G889">
        <v>5</v>
      </c>
      <c r="H889">
        <v>85.3</v>
      </c>
      <c r="I889">
        <v>1</v>
      </c>
      <c r="J889" t="s">
        <v>28</v>
      </c>
      <c r="K889">
        <v>4</v>
      </c>
      <c r="L889">
        <v>68</v>
      </c>
      <c r="M889">
        <v>0.74</v>
      </c>
      <c r="N889">
        <v>5</v>
      </c>
      <c r="O889">
        <v>0.53</v>
      </c>
      <c r="P889" t="s">
        <v>41</v>
      </c>
    </row>
    <row r="890" spans="1:16" x14ac:dyDescent="0.35">
      <c r="A890" t="s">
        <v>916</v>
      </c>
      <c r="B890">
        <v>889</v>
      </c>
      <c r="C890">
        <v>21</v>
      </c>
      <c r="D890" t="s">
        <v>32</v>
      </c>
      <c r="E890" t="s">
        <v>30</v>
      </c>
      <c r="F890">
        <v>2.2200000000000002</v>
      </c>
      <c r="G890">
        <v>3</v>
      </c>
      <c r="H890">
        <v>88.8</v>
      </c>
      <c r="I890">
        <v>0.62</v>
      </c>
      <c r="J890" t="s">
        <v>28</v>
      </c>
      <c r="K890">
        <v>7</v>
      </c>
      <c r="L890">
        <v>78</v>
      </c>
      <c r="M890">
        <v>0.9</v>
      </c>
      <c r="N890">
        <v>7</v>
      </c>
      <c r="O890">
        <v>0.71</v>
      </c>
      <c r="P890" t="s">
        <v>19</v>
      </c>
    </row>
    <row r="891" spans="1:16" x14ac:dyDescent="0.35">
      <c r="A891" t="s">
        <v>917</v>
      </c>
      <c r="B891">
        <v>890</v>
      </c>
      <c r="C891">
        <v>18</v>
      </c>
      <c r="D891" t="s">
        <v>16</v>
      </c>
      <c r="E891" t="s">
        <v>30</v>
      </c>
      <c r="F891">
        <v>3.85</v>
      </c>
      <c r="G891">
        <v>6</v>
      </c>
      <c r="H891">
        <v>70.3</v>
      </c>
      <c r="I891">
        <v>0.86</v>
      </c>
      <c r="J891" t="s">
        <v>23</v>
      </c>
      <c r="K891">
        <v>4</v>
      </c>
      <c r="L891">
        <v>83</v>
      </c>
      <c r="M891">
        <v>0.74</v>
      </c>
      <c r="N891">
        <v>1</v>
      </c>
      <c r="O891">
        <v>0.79</v>
      </c>
      <c r="P891" t="s">
        <v>41</v>
      </c>
    </row>
    <row r="892" spans="1:16" x14ac:dyDescent="0.35">
      <c r="A892" t="s">
        <v>918</v>
      </c>
      <c r="B892">
        <v>891</v>
      </c>
      <c r="C892">
        <v>24</v>
      </c>
      <c r="D892" t="s">
        <v>32</v>
      </c>
      <c r="E892" t="s">
        <v>30</v>
      </c>
      <c r="F892">
        <v>3.26</v>
      </c>
      <c r="G892">
        <v>5</v>
      </c>
      <c r="H892">
        <v>88.8</v>
      </c>
      <c r="I892">
        <v>0.78</v>
      </c>
      <c r="J892" t="s">
        <v>23</v>
      </c>
      <c r="K892">
        <v>23</v>
      </c>
      <c r="L892">
        <v>51</v>
      </c>
      <c r="M892">
        <v>0.89</v>
      </c>
      <c r="N892">
        <v>14</v>
      </c>
      <c r="O892">
        <v>0.56999999999999995</v>
      </c>
      <c r="P892" t="s">
        <v>24</v>
      </c>
    </row>
    <row r="893" spans="1:16" x14ac:dyDescent="0.35">
      <c r="A893" t="s">
        <v>919</v>
      </c>
      <c r="B893">
        <v>892</v>
      </c>
      <c r="C893">
        <v>24</v>
      </c>
      <c r="D893" t="s">
        <v>16</v>
      </c>
      <c r="E893" t="s">
        <v>22</v>
      </c>
      <c r="F893">
        <v>2.11</v>
      </c>
      <c r="G893">
        <v>4</v>
      </c>
      <c r="H893">
        <v>61.1</v>
      </c>
      <c r="I893">
        <v>0.98</v>
      </c>
      <c r="J893" t="s">
        <v>18</v>
      </c>
      <c r="K893">
        <v>39</v>
      </c>
      <c r="L893">
        <v>43</v>
      </c>
      <c r="M893">
        <v>0.72</v>
      </c>
      <c r="N893">
        <v>8</v>
      </c>
      <c r="O893">
        <v>0.88</v>
      </c>
      <c r="P893" t="s">
        <v>19</v>
      </c>
    </row>
    <row r="894" spans="1:16" x14ac:dyDescent="0.35">
      <c r="A894" t="s">
        <v>920</v>
      </c>
      <c r="B894">
        <v>893</v>
      </c>
      <c r="C894">
        <v>18</v>
      </c>
      <c r="D894" t="s">
        <v>16</v>
      </c>
      <c r="E894" t="s">
        <v>17</v>
      </c>
      <c r="F894">
        <v>3.29</v>
      </c>
      <c r="G894">
        <v>5</v>
      </c>
      <c r="H894">
        <v>75</v>
      </c>
      <c r="I894">
        <v>0.7</v>
      </c>
      <c r="J894" t="s">
        <v>23</v>
      </c>
      <c r="K894">
        <v>25</v>
      </c>
      <c r="L894">
        <v>75</v>
      </c>
      <c r="M894">
        <v>0.63</v>
      </c>
      <c r="N894">
        <v>14</v>
      </c>
      <c r="O894">
        <v>0.87</v>
      </c>
      <c r="P894" t="s">
        <v>19</v>
      </c>
    </row>
    <row r="895" spans="1:16" x14ac:dyDescent="0.35">
      <c r="A895" t="s">
        <v>921</v>
      </c>
      <c r="B895">
        <v>894</v>
      </c>
      <c r="C895">
        <v>22</v>
      </c>
      <c r="D895" t="s">
        <v>32</v>
      </c>
      <c r="E895" t="s">
        <v>46</v>
      </c>
      <c r="F895">
        <v>3.95</v>
      </c>
      <c r="G895">
        <v>4</v>
      </c>
      <c r="H895">
        <v>85.1</v>
      </c>
      <c r="I895">
        <v>0.81</v>
      </c>
      <c r="J895" t="s">
        <v>23</v>
      </c>
      <c r="K895">
        <v>5</v>
      </c>
      <c r="L895">
        <v>27</v>
      </c>
      <c r="M895">
        <v>0.66</v>
      </c>
      <c r="N895">
        <v>7</v>
      </c>
      <c r="O895">
        <v>0.95</v>
      </c>
      <c r="P895" t="s">
        <v>24</v>
      </c>
    </row>
    <row r="896" spans="1:16" x14ac:dyDescent="0.35">
      <c r="A896" t="s">
        <v>922</v>
      </c>
      <c r="B896">
        <v>895</v>
      </c>
      <c r="C896">
        <v>21</v>
      </c>
      <c r="D896" t="s">
        <v>32</v>
      </c>
      <c r="E896" t="s">
        <v>17</v>
      </c>
      <c r="F896">
        <v>2.14</v>
      </c>
      <c r="G896">
        <v>3</v>
      </c>
      <c r="H896">
        <v>65.8</v>
      </c>
      <c r="I896">
        <v>0.79</v>
      </c>
      <c r="J896" t="s">
        <v>18</v>
      </c>
      <c r="K896">
        <v>15</v>
      </c>
      <c r="L896">
        <v>86</v>
      </c>
      <c r="M896">
        <v>0.54</v>
      </c>
      <c r="N896">
        <v>15</v>
      </c>
      <c r="O896">
        <v>0.5</v>
      </c>
      <c r="P896" t="s">
        <v>19</v>
      </c>
    </row>
    <row r="897" spans="1:16" x14ac:dyDescent="0.35">
      <c r="A897" t="s">
        <v>923</v>
      </c>
      <c r="B897">
        <v>896</v>
      </c>
      <c r="C897">
        <v>21</v>
      </c>
      <c r="D897" t="s">
        <v>21</v>
      </c>
      <c r="E897" t="s">
        <v>22</v>
      </c>
      <c r="F897">
        <v>3.11</v>
      </c>
      <c r="G897">
        <v>3</v>
      </c>
      <c r="H897">
        <v>92.9</v>
      </c>
      <c r="I897">
        <v>0.88</v>
      </c>
      <c r="J897" t="s">
        <v>23</v>
      </c>
      <c r="K897">
        <v>35</v>
      </c>
      <c r="L897">
        <v>14</v>
      </c>
      <c r="M897">
        <v>0.75</v>
      </c>
      <c r="N897">
        <v>13</v>
      </c>
      <c r="O897">
        <v>0.61</v>
      </c>
      <c r="P897" t="s">
        <v>41</v>
      </c>
    </row>
    <row r="898" spans="1:16" x14ac:dyDescent="0.35">
      <c r="A898" t="s">
        <v>924</v>
      </c>
      <c r="B898">
        <v>897</v>
      </c>
      <c r="C898">
        <v>23</v>
      </c>
      <c r="D898" t="s">
        <v>16</v>
      </c>
      <c r="E898" t="s">
        <v>46</v>
      </c>
      <c r="F898">
        <v>3.5</v>
      </c>
      <c r="G898">
        <v>6</v>
      </c>
      <c r="H898">
        <v>69.400000000000006</v>
      </c>
      <c r="I898">
        <v>0.63</v>
      </c>
      <c r="J898" t="s">
        <v>28</v>
      </c>
      <c r="K898">
        <v>11</v>
      </c>
      <c r="L898">
        <v>29</v>
      </c>
      <c r="M898">
        <v>0.56999999999999995</v>
      </c>
      <c r="N898">
        <v>14</v>
      </c>
      <c r="O898">
        <v>0.91</v>
      </c>
      <c r="P898" t="s">
        <v>19</v>
      </c>
    </row>
    <row r="899" spans="1:16" x14ac:dyDescent="0.35">
      <c r="A899" t="s">
        <v>925</v>
      </c>
      <c r="B899">
        <v>898</v>
      </c>
      <c r="C899">
        <v>21</v>
      </c>
      <c r="D899" t="s">
        <v>21</v>
      </c>
      <c r="E899" t="s">
        <v>22</v>
      </c>
      <c r="F899">
        <v>3.62</v>
      </c>
      <c r="G899">
        <v>4</v>
      </c>
      <c r="H899">
        <v>86.1</v>
      </c>
      <c r="I899">
        <v>0.68</v>
      </c>
      <c r="J899" t="s">
        <v>23</v>
      </c>
      <c r="K899">
        <v>10</v>
      </c>
      <c r="L899">
        <v>75</v>
      </c>
      <c r="M899">
        <v>0.91</v>
      </c>
      <c r="N899">
        <v>19</v>
      </c>
      <c r="O899">
        <v>0.84</v>
      </c>
      <c r="P899" t="s">
        <v>19</v>
      </c>
    </row>
    <row r="900" spans="1:16" x14ac:dyDescent="0.35">
      <c r="A900" t="s">
        <v>926</v>
      </c>
      <c r="B900">
        <v>899</v>
      </c>
      <c r="C900">
        <v>24</v>
      </c>
      <c r="D900" t="s">
        <v>32</v>
      </c>
      <c r="E900" t="s">
        <v>30</v>
      </c>
      <c r="F900">
        <v>2.83</v>
      </c>
      <c r="G900">
        <v>3</v>
      </c>
      <c r="H900">
        <v>76.2</v>
      </c>
      <c r="I900">
        <v>0.69</v>
      </c>
      <c r="J900" t="s">
        <v>18</v>
      </c>
      <c r="K900">
        <v>2</v>
      </c>
      <c r="L900">
        <v>84</v>
      </c>
      <c r="M900">
        <v>0.71</v>
      </c>
      <c r="N900">
        <v>12</v>
      </c>
      <c r="O900">
        <v>0.95</v>
      </c>
      <c r="P900" t="s">
        <v>19</v>
      </c>
    </row>
    <row r="901" spans="1:16" x14ac:dyDescent="0.35">
      <c r="A901" t="s">
        <v>927</v>
      </c>
      <c r="B901">
        <v>900</v>
      </c>
      <c r="C901">
        <v>20</v>
      </c>
      <c r="D901" t="s">
        <v>21</v>
      </c>
      <c r="E901" t="s">
        <v>30</v>
      </c>
      <c r="F901">
        <v>2.41</v>
      </c>
      <c r="G901">
        <v>4</v>
      </c>
      <c r="H901">
        <v>83.8</v>
      </c>
      <c r="I901">
        <v>0.9</v>
      </c>
      <c r="J901" t="s">
        <v>28</v>
      </c>
      <c r="K901">
        <v>36</v>
      </c>
      <c r="L901">
        <v>71</v>
      </c>
      <c r="M901">
        <v>0.88</v>
      </c>
      <c r="N901">
        <v>8</v>
      </c>
      <c r="O901">
        <v>0.53</v>
      </c>
      <c r="P901" t="s">
        <v>19</v>
      </c>
    </row>
    <row r="902" spans="1:16" x14ac:dyDescent="0.35">
      <c r="A902" t="s">
        <v>928</v>
      </c>
      <c r="B902">
        <v>901</v>
      </c>
      <c r="C902">
        <v>22</v>
      </c>
      <c r="D902" t="s">
        <v>16</v>
      </c>
      <c r="E902" t="s">
        <v>22</v>
      </c>
      <c r="F902">
        <v>2.08</v>
      </c>
      <c r="G902">
        <v>3</v>
      </c>
      <c r="H902">
        <v>64.3</v>
      </c>
      <c r="I902">
        <v>0.68</v>
      </c>
      <c r="J902" t="s">
        <v>23</v>
      </c>
      <c r="K902">
        <v>5</v>
      </c>
      <c r="L902">
        <v>41</v>
      </c>
      <c r="M902">
        <v>0.98</v>
      </c>
      <c r="N902">
        <v>0</v>
      </c>
      <c r="O902">
        <v>0.8</v>
      </c>
      <c r="P902" t="s">
        <v>19</v>
      </c>
    </row>
    <row r="903" spans="1:16" x14ac:dyDescent="0.35">
      <c r="A903" t="s">
        <v>929</v>
      </c>
      <c r="B903">
        <v>902</v>
      </c>
      <c r="C903">
        <v>21</v>
      </c>
      <c r="D903" t="s">
        <v>21</v>
      </c>
      <c r="E903" t="s">
        <v>46</v>
      </c>
      <c r="F903">
        <v>3.16</v>
      </c>
      <c r="G903">
        <v>5</v>
      </c>
      <c r="H903">
        <v>60.7</v>
      </c>
      <c r="I903">
        <v>0.83</v>
      </c>
      <c r="J903" t="s">
        <v>28</v>
      </c>
      <c r="K903">
        <v>18</v>
      </c>
      <c r="L903">
        <v>67</v>
      </c>
      <c r="M903">
        <v>0.92</v>
      </c>
      <c r="N903">
        <v>5</v>
      </c>
      <c r="O903">
        <v>0.78</v>
      </c>
      <c r="P903" t="s">
        <v>24</v>
      </c>
    </row>
    <row r="904" spans="1:16" x14ac:dyDescent="0.35">
      <c r="A904" t="s">
        <v>930</v>
      </c>
      <c r="B904">
        <v>903</v>
      </c>
      <c r="C904">
        <v>23</v>
      </c>
      <c r="D904" t="s">
        <v>16</v>
      </c>
      <c r="E904" t="s">
        <v>46</v>
      </c>
      <c r="F904">
        <v>2.91</v>
      </c>
      <c r="G904">
        <v>3</v>
      </c>
      <c r="H904">
        <v>96.4</v>
      </c>
      <c r="I904">
        <v>0.69</v>
      </c>
      <c r="J904" t="s">
        <v>28</v>
      </c>
      <c r="K904">
        <v>17</v>
      </c>
      <c r="L904">
        <v>59</v>
      </c>
      <c r="M904">
        <v>0.98</v>
      </c>
      <c r="N904">
        <v>7</v>
      </c>
      <c r="O904">
        <v>0.52</v>
      </c>
      <c r="P904" t="s">
        <v>19</v>
      </c>
    </row>
    <row r="905" spans="1:16" x14ac:dyDescent="0.35">
      <c r="A905" t="s">
        <v>931</v>
      </c>
      <c r="B905">
        <v>904</v>
      </c>
      <c r="C905">
        <v>24</v>
      </c>
      <c r="D905" t="s">
        <v>32</v>
      </c>
      <c r="E905" t="s">
        <v>17</v>
      </c>
      <c r="F905">
        <v>3.9</v>
      </c>
      <c r="G905">
        <v>6</v>
      </c>
      <c r="H905">
        <v>70.8</v>
      </c>
      <c r="I905">
        <v>0.94</v>
      </c>
      <c r="J905" t="s">
        <v>23</v>
      </c>
      <c r="K905">
        <v>15</v>
      </c>
      <c r="L905">
        <v>47</v>
      </c>
      <c r="M905">
        <v>0.78</v>
      </c>
      <c r="N905">
        <v>19</v>
      </c>
      <c r="O905">
        <v>0.76</v>
      </c>
      <c r="P905" t="s">
        <v>41</v>
      </c>
    </row>
    <row r="906" spans="1:16" x14ac:dyDescent="0.35">
      <c r="A906" t="s">
        <v>932</v>
      </c>
      <c r="B906">
        <v>905</v>
      </c>
      <c r="C906">
        <v>20</v>
      </c>
      <c r="D906" t="s">
        <v>32</v>
      </c>
      <c r="E906" t="s">
        <v>30</v>
      </c>
      <c r="F906">
        <v>2.12</v>
      </c>
      <c r="G906">
        <v>5</v>
      </c>
      <c r="H906">
        <v>92.8</v>
      </c>
      <c r="I906">
        <v>0.98</v>
      </c>
      <c r="J906" t="s">
        <v>23</v>
      </c>
      <c r="K906">
        <v>22</v>
      </c>
      <c r="L906">
        <v>64</v>
      </c>
      <c r="M906">
        <v>0.57999999999999996</v>
      </c>
      <c r="N906">
        <v>17</v>
      </c>
      <c r="O906">
        <v>0.8</v>
      </c>
      <c r="P906" t="s">
        <v>19</v>
      </c>
    </row>
    <row r="907" spans="1:16" x14ac:dyDescent="0.35">
      <c r="A907" t="s">
        <v>933</v>
      </c>
      <c r="B907">
        <v>906</v>
      </c>
      <c r="C907">
        <v>19</v>
      </c>
      <c r="D907" t="s">
        <v>16</v>
      </c>
      <c r="E907" t="s">
        <v>17</v>
      </c>
      <c r="F907">
        <v>3.37</v>
      </c>
      <c r="G907">
        <v>6</v>
      </c>
      <c r="H907">
        <v>100</v>
      </c>
      <c r="I907">
        <v>0.81</v>
      </c>
      <c r="J907" t="s">
        <v>18</v>
      </c>
      <c r="K907">
        <v>36</v>
      </c>
      <c r="L907">
        <v>37</v>
      </c>
      <c r="M907">
        <v>0.97</v>
      </c>
      <c r="N907">
        <v>17</v>
      </c>
      <c r="O907">
        <v>0.6</v>
      </c>
      <c r="P907" t="s">
        <v>24</v>
      </c>
    </row>
    <row r="908" spans="1:16" x14ac:dyDescent="0.35">
      <c r="A908" t="s">
        <v>934</v>
      </c>
      <c r="B908">
        <v>907</v>
      </c>
      <c r="C908">
        <v>19</v>
      </c>
      <c r="D908" t="s">
        <v>32</v>
      </c>
      <c r="E908" t="s">
        <v>17</v>
      </c>
      <c r="F908">
        <v>2.0499999999999998</v>
      </c>
      <c r="G908">
        <v>5</v>
      </c>
      <c r="H908">
        <v>68.5</v>
      </c>
      <c r="I908">
        <v>0.74</v>
      </c>
      <c r="J908" t="s">
        <v>18</v>
      </c>
      <c r="K908">
        <v>8</v>
      </c>
      <c r="L908">
        <v>83</v>
      </c>
      <c r="M908">
        <v>0.93</v>
      </c>
      <c r="N908">
        <v>16</v>
      </c>
      <c r="O908">
        <v>0.64</v>
      </c>
      <c r="P908" t="s">
        <v>19</v>
      </c>
    </row>
    <row r="909" spans="1:16" x14ac:dyDescent="0.35">
      <c r="A909" t="s">
        <v>935</v>
      </c>
      <c r="B909">
        <v>908</v>
      </c>
      <c r="C909">
        <v>20</v>
      </c>
      <c r="D909" t="s">
        <v>32</v>
      </c>
      <c r="E909" t="s">
        <v>22</v>
      </c>
      <c r="F909">
        <v>2.34</v>
      </c>
      <c r="G909">
        <v>4</v>
      </c>
      <c r="H909">
        <v>70.599999999999994</v>
      </c>
      <c r="I909">
        <v>0.69</v>
      </c>
      <c r="J909" t="s">
        <v>28</v>
      </c>
      <c r="K909">
        <v>2</v>
      </c>
      <c r="L909">
        <v>31</v>
      </c>
      <c r="M909">
        <v>0.93</v>
      </c>
      <c r="N909">
        <v>15</v>
      </c>
      <c r="O909">
        <v>0.82</v>
      </c>
      <c r="P909" t="s">
        <v>19</v>
      </c>
    </row>
    <row r="910" spans="1:16" x14ac:dyDescent="0.35">
      <c r="A910" t="s">
        <v>936</v>
      </c>
      <c r="B910">
        <v>909</v>
      </c>
      <c r="C910">
        <v>24</v>
      </c>
      <c r="D910" t="s">
        <v>32</v>
      </c>
      <c r="E910" t="s">
        <v>22</v>
      </c>
      <c r="F910">
        <v>2.91</v>
      </c>
      <c r="G910">
        <v>6</v>
      </c>
      <c r="H910">
        <v>86.5</v>
      </c>
      <c r="I910">
        <v>0.62</v>
      </c>
      <c r="J910" t="s">
        <v>18</v>
      </c>
      <c r="K910">
        <v>7</v>
      </c>
      <c r="L910">
        <v>52</v>
      </c>
      <c r="M910">
        <v>0.85</v>
      </c>
      <c r="N910">
        <v>12</v>
      </c>
      <c r="O910">
        <v>0.73</v>
      </c>
      <c r="P910" t="s">
        <v>19</v>
      </c>
    </row>
    <row r="911" spans="1:16" x14ac:dyDescent="0.35">
      <c r="A911" t="s">
        <v>937</v>
      </c>
      <c r="B911">
        <v>910</v>
      </c>
      <c r="C911">
        <v>23</v>
      </c>
      <c r="D911" t="s">
        <v>32</v>
      </c>
      <c r="E911" t="s">
        <v>17</v>
      </c>
      <c r="F911">
        <v>2.91</v>
      </c>
      <c r="G911">
        <v>3</v>
      </c>
      <c r="H911">
        <v>98.6</v>
      </c>
      <c r="I911">
        <v>0.71</v>
      </c>
      <c r="J911" t="s">
        <v>28</v>
      </c>
      <c r="K911">
        <v>37</v>
      </c>
      <c r="L911">
        <v>45</v>
      </c>
      <c r="M911">
        <v>0.81</v>
      </c>
      <c r="N911">
        <v>3</v>
      </c>
      <c r="O911">
        <v>0.93</v>
      </c>
      <c r="P911" t="s">
        <v>19</v>
      </c>
    </row>
    <row r="912" spans="1:16" x14ac:dyDescent="0.35">
      <c r="A912" t="s">
        <v>938</v>
      </c>
      <c r="B912">
        <v>911</v>
      </c>
      <c r="C912">
        <v>20</v>
      </c>
      <c r="D912" t="s">
        <v>16</v>
      </c>
      <c r="E912" t="s">
        <v>30</v>
      </c>
      <c r="F912">
        <v>3.37</v>
      </c>
      <c r="G912">
        <v>4</v>
      </c>
      <c r="H912">
        <v>96.6</v>
      </c>
      <c r="I912">
        <v>0.86</v>
      </c>
      <c r="J912" t="s">
        <v>28</v>
      </c>
      <c r="K912">
        <v>3</v>
      </c>
      <c r="L912">
        <v>61</v>
      </c>
      <c r="M912">
        <v>0.51</v>
      </c>
      <c r="N912">
        <v>3</v>
      </c>
      <c r="O912">
        <v>0.67</v>
      </c>
      <c r="P912" t="s">
        <v>41</v>
      </c>
    </row>
    <row r="913" spans="1:16" x14ac:dyDescent="0.35">
      <c r="A913" t="s">
        <v>939</v>
      </c>
      <c r="B913">
        <v>912</v>
      </c>
      <c r="C913">
        <v>22</v>
      </c>
      <c r="D913" t="s">
        <v>21</v>
      </c>
      <c r="E913" t="s">
        <v>22</v>
      </c>
      <c r="F913">
        <v>3.82</v>
      </c>
      <c r="G913">
        <v>3</v>
      </c>
      <c r="H913">
        <v>80.099999999999994</v>
      </c>
      <c r="I913">
        <v>0.81</v>
      </c>
      <c r="J913" t="s">
        <v>18</v>
      </c>
      <c r="K913">
        <v>11</v>
      </c>
      <c r="L913">
        <v>45</v>
      </c>
      <c r="M913">
        <v>0.87</v>
      </c>
      <c r="N913">
        <v>13</v>
      </c>
      <c r="O913">
        <v>0.63</v>
      </c>
      <c r="P913" t="s">
        <v>24</v>
      </c>
    </row>
    <row r="914" spans="1:16" x14ac:dyDescent="0.35">
      <c r="A914" t="s">
        <v>940</v>
      </c>
      <c r="B914">
        <v>913</v>
      </c>
      <c r="C914">
        <v>22</v>
      </c>
      <c r="D914" t="s">
        <v>21</v>
      </c>
      <c r="E914" t="s">
        <v>17</v>
      </c>
      <c r="F914">
        <v>3.28</v>
      </c>
      <c r="G914">
        <v>5</v>
      </c>
      <c r="H914">
        <v>91.8</v>
      </c>
      <c r="I914">
        <v>0.98</v>
      </c>
      <c r="J914" t="s">
        <v>18</v>
      </c>
      <c r="K914">
        <v>30</v>
      </c>
      <c r="L914">
        <v>37</v>
      </c>
      <c r="M914">
        <v>0.55000000000000004</v>
      </c>
      <c r="N914">
        <v>4</v>
      </c>
      <c r="O914">
        <v>0.99</v>
      </c>
      <c r="P914" t="s">
        <v>41</v>
      </c>
    </row>
    <row r="915" spans="1:16" x14ac:dyDescent="0.35">
      <c r="A915" t="s">
        <v>941</v>
      </c>
      <c r="B915">
        <v>914</v>
      </c>
      <c r="C915">
        <v>19</v>
      </c>
      <c r="D915" t="s">
        <v>32</v>
      </c>
      <c r="E915" t="s">
        <v>17</v>
      </c>
      <c r="F915">
        <v>3.91</v>
      </c>
      <c r="G915">
        <v>5</v>
      </c>
      <c r="H915">
        <v>65.400000000000006</v>
      </c>
      <c r="I915">
        <v>0.76</v>
      </c>
      <c r="J915" t="s">
        <v>18</v>
      </c>
      <c r="K915">
        <v>24</v>
      </c>
      <c r="L915">
        <v>87</v>
      </c>
      <c r="M915">
        <v>0.63</v>
      </c>
      <c r="N915">
        <v>15</v>
      </c>
      <c r="O915">
        <v>0.96</v>
      </c>
      <c r="P915" t="s">
        <v>24</v>
      </c>
    </row>
    <row r="916" spans="1:16" x14ac:dyDescent="0.35">
      <c r="A916" t="s">
        <v>942</v>
      </c>
      <c r="B916">
        <v>915</v>
      </c>
      <c r="C916">
        <v>21</v>
      </c>
      <c r="D916" t="s">
        <v>21</v>
      </c>
      <c r="E916" t="s">
        <v>17</v>
      </c>
      <c r="F916">
        <v>3.76</v>
      </c>
      <c r="G916">
        <v>3</v>
      </c>
      <c r="H916">
        <v>99.1</v>
      </c>
      <c r="I916">
        <v>0.88</v>
      </c>
      <c r="J916" t="s">
        <v>23</v>
      </c>
      <c r="K916">
        <v>15</v>
      </c>
      <c r="L916">
        <v>67</v>
      </c>
      <c r="M916">
        <v>0.78</v>
      </c>
      <c r="N916">
        <v>13</v>
      </c>
      <c r="O916">
        <v>0.51</v>
      </c>
      <c r="P916" t="s">
        <v>41</v>
      </c>
    </row>
    <row r="917" spans="1:16" x14ac:dyDescent="0.35">
      <c r="A917" t="s">
        <v>943</v>
      </c>
      <c r="B917">
        <v>916</v>
      </c>
      <c r="C917">
        <v>23</v>
      </c>
      <c r="D917" t="s">
        <v>21</v>
      </c>
      <c r="E917" t="s">
        <v>17</v>
      </c>
      <c r="F917">
        <v>3.17</v>
      </c>
      <c r="G917">
        <v>3</v>
      </c>
      <c r="H917">
        <v>98.6</v>
      </c>
      <c r="I917">
        <v>0.8</v>
      </c>
      <c r="J917" t="s">
        <v>28</v>
      </c>
      <c r="K917">
        <v>13</v>
      </c>
      <c r="L917">
        <v>45</v>
      </c>
      <c r="M917">
        <v>0.73</v>
      </c>
      <c r="N917">
        <v>13</v>
      </c>
      <c r="O917">
        <v>0.89</v>
      </c>
      <c r="P917" t="s">
        <v>24</v>
      </c>
    </row>
    <row r="918" spans="1:16" x14ac:dyDescent="0.35">
      <c r="A918" t="s">
        <v>944</v>
      </c>
      <c r="B918">
        <v>917</v>
      </c>
      <c r="C918">
        <v>19</v>
      </c>
      <c r="D918" t="s">
        <v>32</v>
      </c>
      <c r="E918" t="s">
        <v>17</v>
      </c>
      <c r="F918">
        <v>3.67</v>
      </c>
      <c r="G918">
        <v>4</v>
      </c>
      <c r="H918">
        <v>66.5</v>
      </c>
      <c r="I918">
        <v>0.81</v>
      </c>
      <c r="J918" t="s">
        <v>28</v>
      </c>
      <c r="K918">
        <v>12</v>
      </c>
      <c r="L918">
        <v>79</v>
      </c>
      <c r="M918">
        <v>0.51</v>
      </c>
      <c r="N918">
        <v>13</v>
      </c>
      <c r="O918">
        <v>0.56000000000000005</v>
      </c>
      <c r="P918" t="s">
        <v>24</v>
      </c>
    </row>
    <row r="919" spans="1:16" x14ac:dyDescent="0.35">
      <c r="A919" t="s">
        <v>945</v>
      </c>
      <c r="B919">
        <v>918</v>
      </c>
      <c r="C919">
        <v>21</v>
      </c>
      <c r="D919" t="s">
        <v>32</v>
      </c>
      <c r="E919" t="s">
        <v>17</v>
      </c>
      <c r="F919">
        <v>3.29</v>
      </c>
      <c r="G919">
        <v>3</v>
      </c>
      <c r="H919">
        <v>72</v>
      </c>
      <c r="I919">
        <v>0.71</v>
      </c>
      <c r="J919" t="s">
        <v>28</v>
      </c>
      <c r="K919">
        <v>6</v>
      </c>
      <c r="L919">
        <v>18</v>
      </c>
      <c r="M919">
        <v>0.91</v>
      </c>
      <c r="N919">
        <v>13</v>
      </c>
      <c r="O919">
        <v>0.51</v>
      </c>
      <c r="P919" t="s">
        <v>19</v>
      </c>
    </row>
    <row r="920" spans="1:16" x14ac:dyDescent="0.35">
      <c r="A920" t="s">
        <v>946</v>
      </c>
      <c r="B920">
        <v>919</v>
      </c>
      <c r="C920">
        <v>21</v>
      </c>
      <c r="D920" t="s">
        <v>21</v>
      </c>
      <c r="E920" t="s">
        <v>22</v>
      </c>
      <c r="F920">
        <v>2.16</v>
      </c>
      <c r="G920">
        <v>6</v>
      </c>
      <c r="H920">
        <v>64</v>
      </c>
      <c r="I920">
        <v>0.78</v>
      </c>
      <c r="J920" t="s">
        <v>18</v>
      </c>
      <c r="K920">
        <v>11</v>
      </c>
      <c r="L920">
        <v>30</v>
      </c>
      <c r="M920">
        <v>0.94</v>
      </c>
      <c r="N920">
        <v>18</v>
      </c>
      <c r="O920">
        <v>0.64</v>
      </c>
      <c r="P920" t="s">
        <v>19</v>
      </c>
    </row>
    <row r="921" spans="1:16" x14ac:dyDescent="0.35">
      <c r="A921" t="s">
        <v>947</v>
      </c>
      <c r="B921">
        <v>920</v>
      </c>
      <c r="C921">
        <v>25</v>
      </c>
      <c r="D921" t="s">
        <v>16</v>
      </c>
      <c r="E921" t="s">
        <v>30</v>
      </c>
      <c r="F921">
        <v>3.48</v>
      </c>
      <c r="G921">
        <v>6</v>
      </c>
      <c r="H921">
        <v>70.900000000000006</v>
      </c>
      <c r="I921">
        <v>0.79</v>
      </c>
      <c r="J921" t="s">
        <v>18</v>
      </c>
      <c r="K921">
        <v>36</v>
      </c>
      <c r="L921">
        <v>73</v>
      </c>
      <c r="M921">
        <v>0.84</v>
      </c>
      <c r="N921">
        <v>2</v>
      </c>
      <c r="O921">
        <v>0.63</v>
      </c>
      <c r="P921" t="s">
        <v>24</v>
      </c>
    </row>
    <row r="922" spans="1:16" x14ac:dyDescent="0.35">
      <c r="A922" t="s">
        <v>948</v>
      </c>
      <c r="B922">
        <v>921</v>
      </c>
      <c r="C922">
        <v>22</v>
      </c>
      <c r="D922" t="s">
        <v>32</v>
      </c>
      <c r="E922" t="s">
        <v>17</v>
      </c>
      <c r="F922">
        <v>2.19</v>
      </c>
      <c r="G922">
        <v>3</v>
      </c>
      <c r="H922">
        <v>92.6</v>
      </c>
      <c r="I922">
        <v>0.88</v>
      </c>
      <c r="J922" t="s">
        <v>18</v>
      </c>
      <c r="K922">
        <v>3</v>
      </c>
      <c r="L922">
        <v>85</v>
      </c>
      <c r="M922">
        <v>0.77</v>
      </c>
      <c r="N922">
        <v>16</v>
      </c>
      <c r="O922">
        <v>0.91</v>
      </c>
      <c r="P922" t="s">
        <v>19</v>
      </c>
    </row>
    <row r="923" spans="1:16" x14ac:dyDescent="0.35">
      <c r="A923" t="s">
        <v>949</v>
      </c>
      <c r="B923">
        <v>922</v>
      </c>
      <c r="C923">
        <v>24</v>
      </c>
      <c r="D923" t="s">
        <v>16</v>
      </c>
      <c r="E923" t="s">
        <v>46</v>
      </c>
      <c r="F923">
        <v>3.19</v>
      </c>
      <c r="G923">
        <v>6</v>
      </c>
      <c r="H923">
        <v>75.099999999999994</v>
      </c>
      <c r="I923">
        <v>0.98</v>
      </c>
      <c r="J923" t="s">
        <v>18</v>
      </c>
      <c r="K923">
        <v>1</v>
      </c>
      <c r="L923">
        <v>70</v>
      </c>
      <c r="M923">
        <v>0.98</v>
      </c>
      <c r="N923">
        <v>13</v>
      </c>
      <c r="O923">
        <v>0.86</v>
      </c>
      <c r="P923" t="s">
        <v>41</v>
      </c>
    </row>
    <row r="924" spans="1:16" x14ac:dyDescent="0.35">
      <c r="A924" t="s">
        <v>950</v>
      </c>
      <c r="B924">
        <v>923</v>
      </c>
      <c r="C924">
        <v>18</v>
      </c>
      <c r="D924" t="s">
        <v>21</v>
      </c>
      <c r="E924" t="s">
        <v>22</v>
      </c>
      <c r="F924">
        <v>3.41</v>
      </c>
      <c r="G924">
        <v>3</v>
      </c>
      <c r="H924">
        <v>63.5</v>
      </c>
      <c r="I924">
        <v>0.73</v>
      </c>
      <c r="J924" t="s">
        <v>18</v>
      </c>
      <c r="K924">
        <v>34</v>
      </c>
      <c r="L924">
        <v>49</v>
      </c>
      <c r="M924">
        <v>0.56000000000000005</v>
      </c>
      <c r="N924">
        <v>9</v>
      </c>
      <c r="O924">
        <v>0.99</v>
      </c>
      <c r="P924" t="s">
        <v>19</v>
      </c>
    </row>
    <row r="925" spans="1:16" x14ac:dyDescent="0.35">
      <c r="A925" t="s">
        <v>951</v>
      </c>
      <c r="B925">
        <v>924</v>
      </c>
      <c r="C925">
        <v>24</v>
      </c>
      <c r="D925" t="s">
        <v>32</v>
      </c>
      <c r="E925" t="s">
        <v>22</v>
      </c>
      <c r="F925">
        <v>2.13</v>
      </c>
      <c r="G925">
        <v>4</v>
      </c>
      <c r="H925">
        <v>73.7</v>
      </c>
      <c r="I925">
        <v>0.62</v>
      </c>
      <c r="J925" t="s">
        <v>23</v>
      </c>
      <c r="K925">
        <v>2</v>
      </c>
      <c r="L925">
        <v>65</v>
      </c>
      <c r="M925">
        <v>0.87</v>
      </c>
      <c r="N925">
        <v>12</v>
      </c>
      <c r="O925">
        <v>0.86</v>
      </c>
      <c r="P925" t="s">
        <v>19</v>
      </c>
    </row>
    <row r="926" spans="1:16" x14ac:dyDescent="0.35">
      <c r="A926" t="s">
        <v>952</v>
      </c>
      <c r="B926">
        <v>925</v>
      </c>
      <c r="C926">
        <v>18</v>
      </c>
      <c r="D926" t="s">
        <v>16</v>
      </c>
      <c r="E926" t="s">
        <v>17</v>
      </c>
      <c r="F926">
        <v>2.46</v>
      </c>
      <c r="G926">
        <v>6</v>
      </c>
      <c r="H926">
        <v>99.3</v>
      </c>
      <c r="I926">
        <v>0.8</v>
      </c>
      <c r="J926" t="s">
        <v>18</v>
      </c>
      <c r="K926">
        <v>3</v>
      </c>
      <c r="L926">
        <v>13</v>
      </c>
      <c r="M926">
        <v>0.56000000000000005</v>
      </c>
      <c r="N926">
        <v>3</v>
      </c>
      <c r="O926">
        <v>0.71</v>
      </c>
      <c r="P926" t="s">
        <v>19</v>
      </c>
    </row>
    <row r="927" spans="1:16" x14ac:dyDescent="0.35">
      <c r="A927" t="s">
        <v>953</v>
      </c>
      <c r="B927">
        <v>926</v>
      </c>
      <c r="C927">
        <v>20</v>
      </c>
      <c r="D927" t="s">
        <v>32</v>
      </c>
      <c r="E927" t="s">
        <v>22</v>
      </c>
      <c r="F927">
        <v>3.83</v>
      </c>
      <c r="G927">
        <v>6</v>
      </c>
      <c r="H927">
        <v>85.2</v>
      </c>
      <c r="I927">
        <v>0.82</v>
      </c>
      <c r="J927" t="s">
        <v>28</v>
      </c>
      <c r="K927">
        <v>37</v>
      </c>
      <c r="L927">
        <v>40</v>
      </c>
      <c r="M927">
        <v>0.69</v>
      </c>
      <c r="N927">
        <v>10</v>
      </c>
      <c r="O927">
        <v>0.85</v>
      </c>
      <c r="P927" t="s">
        <v>24</v>
      </c>
    </row>
    <row r="928" spans="1:16" x14ac:dyDescent="0.35">
      <c r="A928" t="s">
        <v>954</v>
      </c>
      <c r="B928">
        <v>927</v>
      </c>
      <c r="C928">
        <v>22</v>
      </c>
      <c r="D928" t="s">
        <v>21</v>
      </c>
      <c r="E928" t="s">
        <v>17</v>
      </c>
      <c r="F928">
        <v>3.23</v>
      </c>
      <c r="G928">
        <v>3</v>
      </c>
      <c r="H928">
        <v>76.599999999999994</v>
      </c>
      <c r="I928">
        <v>0.67</v>
      </c>
      <c r="J928" t="s">
        <v>18</v>
      </c>
      <c r="K928">
        <v>11</v>
      </c>
      <c r="L928">
        <v>36</v>
      </c>
      <c r="M928">
        <v>0.79</v>
      </c>
      <c r="N928">
        <v>14</v>
      </c>
      <c r="O928">
        <v>1</v>
      </c>
      <c r="P928" t="s">
        <v>19</v>
      </c>
    </row>
    <row r="929" spans="1:16" x14ac:dyDescent="0.35">
      <c r="A929" t="s">
        <v>955</v>
      </c>
      <c r="B929">
        <v>928</v>
      </c>
      <c r="C929">
        <v>21</v>
      </c>
      <c r="D929" t="s">
        <v>16</v>
      </c>
      <c r="E929" t="s">
        <v>30</v>
      </c>
      <c r="F929">
        <v>2.4900000000000002</v>
      </c>
      <c r="G929">
        <v>6</v>
      </c>
      <c r="H929">
        <v>66.7</v>
      </c>
      <c r="I929">
        <v>0.9</v>
      </c>
      <c r="J929" t="s">
        <v>28</v>
      </c>
      <c r="K929">
        <v>18</v>
      </c>
      <c r="L929">
        <v>67</v>
      </c>
      <c r="M929">
        <v>0.87</v>
      </c>
      <c r="N929">
        <v>14</v>
      </c>
      <c r="O929">
        <v>0.86</v>
      </c>
      <c r="P929" t="s">
        <v>19</v>
      </c>
    </row>
    <row r="930" spans="1:16" x14ac:dyDescent="0.35">
      <c r="A930" t="s">
        <v>956</v>
      </c>
      <c r="B930">
        <v>929</v>
      </c>
      <c r="C930">
        <v>23</v>
      </c>
      <c r="D930" t="s">
        <v>21</v>
      </c>
      <c r="E930" t="s">
        <v>30</v>
      </c>
      <c r="F930">
        <v>3.38</v>
      </c>
      <c r="G930">
        <v>5</v>
      </c>
      <c r="H930">
        <v>99.4</v>
      </c>
      <c r="I930">
        <v>0.99</v>
      </c>
      <c r="J930" t="s">
        <v>18</v>
      </c>
      <c r="K930">
        <v>9</v>
      </c>
      <c r="L930">
        <v>34</v>
      </c>
      <c r="M930">
        <v>0.5</v>
      </c>
      <c r="N930">
        <v>1</v>
      </c>
      <c r="O930">
        <v>0.88</v>
      </c>
      <c r="P930" t="s">
        <v>41</v>
      </c>
    </row>
    <row r="931" spans="1:16" x14ac:dyDescent="0.35">
      <c r="A931" t="s">
        <v>957</v>
      </c>
      <c r="B931">
        <v>930</v>
      </c>
      <c r="C931">
        <v>18</v>
      </c>
      <c r="D931" t="s">
        <v>21</v>
      </c>
      <c r="E931" t="s">
        <v>22</v>
      </c>
      <c r="F931">
        <v>3.19</v>
      </c>
      <c r="G931">
        <v>4</v>
      </c>
      <c r="H931">
        <v>92.8</v>
      </c>
      <c r="I931">
        <v>0.98</v>
      </c>
      <c r="J931" t="s">
        <v>18</v>
      </c>
      <c r="K931">
        <v>0</v>
      </c>
      <c r="L931">
        <v>78</v>
      </c>
      <c r="M931">
        <v>0.63</v>
      </c>
      <c r="N931">
        <v>10</v>
      </c>
      <c r="O931">
        <v>0.97</v>
      </c>
      <c r="P931" t="s">
        <v>41</v>
      </c>
    </row>
    <row r="932" spans="1:16" x14ac:dyDescent="0.35">
      <c r="A932" t="s">
        <v>958</v>
      </c>
      <c r="B932">
        <v>931</v>
      </c>
      <c r="C932">
        <v>24</v>
      </c>
      <c r="D932" t="s">
        <v>32</v>
      </c>
      <c r="E932" t="s">
        <v>22</v>
      </c>
      <c r="F932">
        <v>3</v>
      </c>
      <c r="G932">
        <v>4</v>
      </c>
      <c r="H932">
        <v>71.3</v>
      </c>
      <c r="I932">
        <v>0.68</v>
      </c>
      <c r="J932" t="s">
        <v>28</v>
      </c>
      <c r="K932">
        <v>16</v>
      </c>
      <c r="L932">
        <v>79</v>
      </c>
      <c r="M932">
        <v>0.77</v>
      </c>
      <c r="N932">
        <v>1</v>
      </c>
      <c r="O932">
        <v>0.56000000000000005</v>
      </c>
      <c r="P932" t="s">
        <v>19</v>
      </c>
    </row>
    <row r="933" spans="1:16" x14ac:dyDescent="0.35">
      <c r="A933" t="s">
        <v>959</v>
      </c>
      <c r="B933">
        <v>932</v>
      </c>
      <c r="C933">
        <v>21</v>
      </c>
      <c r="D933" t="s">
        <v>16</v>
      </c>
      <c r="E933" t="s">
        <v>46</v>
      </c>
      <c r="F933">
        <v>3.95</v>
      </c>
      <c r="G933">
        <v>6</v>
      </c>
      <c r="H933">
        <v>62.8</v>
      </c>
      <c r="I933">
        <v>0.95</v>
      </c>
      <c r="J933" t="s">
        <v>28</v>
      </c>
      <c r="K933">
        <v>15</v>
      </c>
      <c r="L933">
        <v>14</v>
      </c>
      <c r="M933">
        <v>0.77</v>
      </c>
      <c r="N933">
        <v>4</v>
      </c>
      <c r="O933">
        <v>0.85</v>
      </c>
      <c r="P933" t="s">
        <v>41</v>
      </c>
    </row>
    <row r="934" spans="1:16" x14ac:dyDescent="0.35">
      <c r="A934" t="s">
        <v>960</v>
      </c>
      <c r="B934">
        <v>933</v>
      </c>
      <c r="C934">
        <v>18</v>
      </c>
      <c r="D934" t="s">
        <v>21</v>
      </c>
      <c r="E934" t="s">
        <v>22</v>
      </c>
      <c r="F934">
        <v>3.37</v>
      </c>
      <c r="G934">
        <v>6</v>
      </c>
      <c r="H934">
        <v>62.3</v>
      </c>
      <c r="I934">
        <v>0.88</v>
      </c>
      <c r="J934" t="s">
        <v>28</v>
      </c>
      <c r="K934">
        <v>8</v>
      </c>
      <c r="L934">
        <v>17</v>
      </c>
      <c r="M934">
        <v>0.82</v>
      </c>
      <c r="N934">
        <v>12</v>
      </c>
      <c r="O934">
        <v>0.93</v>
      </c>
      <c r="P934" t="s">
        <v>41</v>
      </c>
    </row>
    <row r="935" spans="1:16" x14ac:dyDescent="0.35">
      <c r="A935" t="s">
        <v>961</v>
      </c>
      <c r="B935">
        <v>934</v>
      </c>
      <c r="C935">
        <v>18</v>
      </c>
      <c r="D935" t="s">
        <v>21</v>
      </c>
      <c r="E935" t="s">
        <v>46</v>
      </c>
      <c r="F935">
        <v>2.75</v>
      </c>
      <c r="G935">
        <v>5</v>
      </c>
      <c r="H935">
        <v>64.8</v>
      </c>
      <c r="I935">
        <v>0.78</v>
      </c>
      <c r="J935" t="s">
        <v>28</v>
      </c>
      <c r="K935">
        <v>8</v>
      </c>
      <c r="L935">
        <v>18</v>
      </c>
      <c r="M935">
        <v>0.65</v>
      </c>
      <c r="N935">
        <v>0</v>
      </c>
      <c r="O935">
        <v>0.98</v>
      </c>
      <c r="P935" t="s">
        <v>24</v>
      </c>
    </row>
    <row r="936" spans="1:16" x14ac:dyDescent="0.35">
      <c r="A936" t="s">
        <v>962</v>
      </c>
      <c r="B936">
        <v>935</v>
      </c>
      <c r="C936">
        <v>25</v>
      </c>
      <c r="D936" t="s">
        <v>16</v>
      </c>
      <c r="E936" t="s">
        <v>30</v>
      </c>
      <c r="F936">
        <v>3.6</v>
      </c>
      <c r="G936">
        <v>5</v>
      </c>
      <c r="H936">
        <v>83.2</v>
      </c>
      <c r="I936">
        <v>0.82</v>
      </c>
      <c r="J936" t="s">
        <v>23</v>
      </c>
      <c r="K936">
        <v>8</v>
      </c>
      <c r="L936">
        <v>24</v>
      </c>
      <c r="M936">
        <v>0.77</v>
      </c>
      <c r="N936">
        <v>6</v>
      </c>
      <c r="O936">
        <v>0.61</v>
      </c>
      <c r="P936" t="s">
        <v>24</v>
      </c>
    </row>
    <row r="937" spans="1:16" x14ac:dyDescent="0.35">
      <c r="A937" t="s">
        <v>963</v>
      </c>
      <c r="B937">
        <v>936</v>
      </c>
      <c r="C937">
        <v>18</v>
      </c>
      <c r="D937" t="s">
        <v>21</v>
      </c>
      <c r="E937" t="s">
        <v>30</v>
      </c>
      <c r="F937">
        <v>3.77</v>
      </c>
      <c r="G937">
        <v>6</v>
      </c>
      <c r="H937">
        <v>97.2</v>
      </c>
      <c r="I937">
        <v>0.94</v>
      </c>
      <c r="J937" t="s">
        <v>28</v>
      </c>
      <c r="K937">
        <v>11</v>
      </c>
      <c r="L937">
        <v>16</v>
      </c>
      <c r="M937">
        <v>0.59</v>
      </c>
      <c r="N937">
        <v>6</v>
      </c>
      <c r="O937">
        <v>0.75</v>
      </c>
      <c r="P937" t="s">
        <v>41</v>
      </c>
    </row>
    <row r="938" spans="1:16" x14ac:dyDescent="0.35">
      <c r="A938" t="s">
        <v>964</v>
      </c>
      <c r="B938">
        <v>937</v>
      </c>
      <c r="C938">
        <v>23</v>
      </c>
      <c r="D938" t="s">
        <v>21</v>
      </c>
      <c r="E938" t="s">
        <v>17</v>
      </c>
      <c r="F938">
        <v>2.25</v>
      </c>
      <c r="G938">
        <v>6</v>
      </c>
      <c r="H938">
        <v>79.900000000000006</v>
      </c>
      <c r="I938">
        <v>0.79</v>
      </c>
      <c r="J938" t="s">
        <v>18</v>
      </c>
      <c r="K938">
        <v>14</v>
      </c>
      <c r="L938">
        <v>81</v>
      </c>
      <c r="M938">
        <v>0.59</v>
      </c>
      <c r="N938">
        <v>9</v>
      </c>
      <c r="O938">
        <v>0.84</v>
      </c>
      <c r="P938" t="s">
        <v>19</v>
      </c>
    </row>
    <row r="939" spans="1:16" x14ac:dyDescent="0.35">
      <c r="A939" t="s">
        <v>965</v>
      </c>
      <c r="B939">
        <v>938</v>
      </c>
      <c r="C939">
        <v>22</v>
      </c>
      <c r="D939" t="s">
        <v>16</v>
      </c>
      <c r="E939" t="s">
        <v>30</v>
      </c>
      <c r="F939">
        <v>2.4</v>
      </c>
      <c r="G939">
        <v>5</v>
      </c>
      <c r="H939">
        <v>93.7</v>
      </c>
      <c r="I939">
        <v>0.75</v>
      </c>
      <c r="J939" t="s">
        <v>18</v>
      </c>
      <c r="K939">
        <v>1</v>
      </c>
      <c r="L939">
        <v>24</v>
      </c>
      <c r="M939">
        <v>0.79</v>
      </c>
      <c r="N939">
        <v>5</v>
      </c>
      <c r="O939">
        <v>0.62</v>
      </c>
      <c r="P939" t="s">
        <v>19</v>
      </c>
    </row>
    <row r="940" spans="1:16" x14ac:dyDescent="0.35">
      <c r="A940" t="s">
        <v>966</v>
      </c>
      <c r="B940">
        <v>939</v>
      </c>
      <c r="C940">
        <v>23</v>
      </c>
      <c r="D940" t="s">
        <v>16</v>
      </c>
      <c r="E940" t="s">
        <v>46</v>
      </c>
      <c r="F940">
        <v>2.4300000000000002</v>
      </c>
      <c r="G940">
        <v>3</v>
      </c>
      <c r="H940">
        <v>77.8</v>
      </c>
      <c r="I940">
        <v>0.8</v>
      </c>
      <c r="J940" t="s">
        <v>23</v>
      </c>
      <c r="K940">
        <v>10</v>
      </c>
      <c r="L940">
        <v>46</v>
      </c>
      <c r="M940">
        <v>0.84</v>
      </c>
      <c r="N940">
        <v>19</v>
      </c>
      <c r="O940">
        <v>0.8</v>
      </c>
      <c r="P940" t="s">
        <v>19</v>
      </c>
    </row>
    <row r="941" spans="1:16" x14ac:dyDescent="0.35">
      <c r="A941" t="s">
        <v>967</v>
      </c>
      <c r="B941">
        <v>940</v>
      </c>
      <c r="C941">
        <v>19</v>
      </c>
      <c r="D941" t="s">
        <v>16</v>
      </c>
      <c r="E941" t="s">
        <v>22</v>
      </c>
      <c r="F941">
        <v>3.38</v>
      </c>
      <c r="G941">
        <v>5</v>
      </c>
      <c r="H941">
        <v>88.3</v>
      </c>
      <c r="I941">
        <v>0.83</v>
      </c>
      <c r="J941" t="s">
        <v>28</v>
      </c>
      <c r="K941">
        <v>10</v>
      </c>
      <c r="L941">
        <v>48</v>
      </c>
      <c r="M941">
        <v>0.56000000000000005</v>
      </c>
      <c r="N941">
        <v>11</v>
      </c>
      <c r="O941">
        <v>0.63</v>
      </c>
      <c r="P941" t="s">
        <v>24</v>
      </c>
    </row>
    <row r="942" spans="1:16" x14ac:dyDescent="0.35">
      <c r="A942" t="s">
        <v>968</v>
      </c>
      <c r="B942">
        <v>941</v>
      </c>
      <c r="C942">
        <v>21</v>
      </c>
      <c r="D942" t="s">
        <v>16</v>
      </c>
      <c r="E942" t="s">
        <v>17</v>
      </c>
      <c r="F942">
        <v>3.21</v>
      </c>
      <c r="G942">
        <v>3</v>
      </c>
      <c r="H942">
        <v>89.3</v>
      </c>
      <c r="I942">
        <v>0.68</v>
      </c>
      <c r="J942" t="s">
        <v>18</v>
      </c>
      <c r="K942">
        <v>7</v>
      </c>
      <c r="L942">
        <v>15</v>
      </c>
      <c r="M942">
        <v>0.56000000000000005</v>
      </c>
      <c r="N942">
        <v>12</v>
      </c>
      <c r="O942">
        <v>0.67</v>
      </c>
      <c r="P942" t="s">
        <v>19</v>
      </c>
    </row>
    <row r="943" spans="1:16" x14ac:dyDescent="0.35">
      <c r="A943" t="s">
        <v>969</v>
      </c>
      <c r="B943">
        <v>942</v>
      </c>
      <c r="C943">
        <v>22</v>
      </c>
      <c r="D943" t="s">
        <v>32</v>
      </c>
      <c r="E943" t="s">
        <v>46</v>
      </c>
      <c r="F943">
        <v>3.24</v>
      </c>
      <c r="G943">
        <v>4</v>
      </c>
      <c r="H943">
        <v>67</v>
      </c>
      <c r="I943">
        <v>0.96</v>
      </c>
      <c r="J943" t="s">
        <v>23</v>
      </c>
      <c r="K943">
        <v>31</v>
      </c>
      <c r="L943">
        <v>66</v>
      </c>
      <c r="M943">
        <v>0.78</v>
      </c>
      <c r="N943">
        <v>10</v>
      </c>
      <c r="O943">
        <v>0.72</v>
      </c>
      <c r="P943" t="s">
        <v>41</v>
      </c>
    </row>
    <row r="944" spans="1:16" x14ac:dyDescent="0.35">
      <c r="A944" t="s">
        <v>970</v>
      </c>
      <c r="B944">
        <v>943</v>
      </c>
      <c r="C944">
        <v>25</v>
      </c>
      <c r="D944" t="s">
        <v>16</v>
      </c>
      <c r="E944" t="s">
        <v>22</v>
      </c>
      <c r="F944">
        <v>3.88</v>
      </c>
      <c r="G944">
        <v>4</v>
      </c>
      <c r="H944">
        <v>74.400000000000006</v>
      </c>
      <c r="I944">
        <v>0.87</v>
      </c>
      <c r="J944" t="s">
        <v>18</v>
      </c>
      <c r="K944">
        <v>5</v>
      </c>
      <c r="L944">
        <v>28</v>
      </c>
      <c r="M944">
        <v>0.64</v>
      </c>
      <c r="N944">
        <v>17</v>
      </c>
      <c r="O944">
        <v>0.76</v>
      </c>
      <c r="P944" t="s">
        <v>41</v>
      </c>
    </row>
    <row r="945" spans="1:16" x14ac:dyDescent="0.35">
      <c r="A945" t="s">
        <v>971</v>
      </c>
      <c r="B945">
        <v>944</v>
      </c>
      <c r="C945">
        <v>22</v>
      </c>
      <c r="D945" t="s">
        <v>32</v>
      </c>
      <c r="E945" t="s">
        <v>17</v>
      </c>
      <c r="F945">
        <v>3.55</v>
      </c>
      <c r="G945">
        <v>5</v>
      </c>
      <c r="H945">
        <v>85.5</v>
      </c>
      <c r="I945">
        <v>0.85</v>
      </c>
      <c r="J945" t="s">
        <v>23</v>
      </c>
      <c r="K945">
        <v>19</v>
      </c>
      <c r="L945">
        <v>72</v>
      </c>
      <c r="M945">
        <v>0.7</v>
      </c>
      <c r="N945">
        <v>1</v>
      </c>
      <c r="O945">
        <v>0.72</v>
      </c>
      <c r="P945" t="s">
        <v>41</v>
      </c>
    </row>
    <row r="946" spans="1:16" x14ac:dyDescent="0.35">
      <c r="A946" t="s">
        <v>972</v>
      </c>
      <c r="B946">
        <v>945</v>
      </c>
      <c r="C946">
        <v>22</v>
      </c>
      <c r="D946" t="s">
        <v>32</v>
      </c>
      <c r="E946" t="s">
        <v>30</v>
      </c>
      <c r="F946">
        <v>2.2599999999999998</v>
      </c>
      <c r="G946">
        <v>3</v>
      </c>
      <c r="H946">
        <v>62.8</v>
      </c>
      <c r="I946">
        <v>0.64</v>
      </c>
      <c r="J946" t="s">
        <v>23</v>
      </c>
      <c r="K946">
        <v>38</v>
      </c>
      <c r="L946">
        <v>40</v>
      </c>
      <c r="M946">
        <v>0.7</v>
      </c>
      <c r="N946">
        <v>15</v>
      </c>
      <c r="O946">
        <v>0.75</v>
      </c>
      <c r="P946" t="s">
        <v>19</v>
      </c>
    </row>
    <row r="947" spans="1:16" x14ac:dyDescent="0.35">
      <c r="A947" t="s">
        <v>973</v>
      </c>
      <c r="B947">
        <v>946</v>
      </c>
      <c r="C947">
        <v>24</v>
      </c>
      <c r="D947" t="s">
        <v>32</v>
      </c>
      <c r="E947" t="s">
        <v>46</v>
      </c>
      <c r="F947">
        <v>2.7</v>
      </c>
      <c r="G947">
        <v>5</v>
      </c>
      <c r="H947">
        <v>74.5</v>
      </c>
      <c r="I947">
        <v>0.84</v>
      </c>
      <c r="J947" t="s">
        <v>28</v>
      </c>
      <c r="K947">
        <v>34</v>
      </c>
      <c r="L947">
        <v>84</v>
      </c>
      <c r="M947">
        <v>0.59</v>
      </c>
      <c r="N947">
        <v>1</v>
      </c>
      <c r="O947">
        <v>0.65</v>
      </c>
      <c r="P947" t="s">
        <v>24</v>
      </c>
    </row>
    <row r="948" spans="1:16" x14ac:dyDescent="0.35">
      <c r="A948" t="s">
        <v>974</v>
      </c>
      <c r="B948">
        <v>947</v>
      </c>
      <c r="C948">
        <v>22</v>
      </c>
      <c r="D948" t="s">
        <v>21</v>
      </c>
      <c r="E948" t="s">
        <v>22</v>
      </c>
      <c r="F948">
        <v>2.87</v>
      </c>
      <c r="G948">
        <v>5</v>
      </c>
      <c r="H948">
        <v>81.400000000000006</v>
      </c>
      <c r="I948">
        <v>0.65</v>
      </c>
      <c r="J948" t="s">
        <v>23</v>
      </c>
      <c r="K948">
        <v>7</v>
      </c>
      <c r="L948">
        <v>88</v>
      </c>
      <c r="M948">
        <v>0.5</v>
      </c>
      <c r="N948">
        <v>18</v>
      </c>
      <c r="O948">
        <v>0.57999999999999996</v>
      </c>
      <c r="P948" t="s">
        <v>19</v>
      </c>
    </row>
    <row r="949" spans="1:16" x14ac:dyDescent="0.35">
      <c r="A949" t="s">
        <v>975</v>
      </c>
      <c r="B949">
        <v>948</v>
      </c>
      <c r="C949">
        <v>25</v>
      </c>
      <c r="D949" t="s">
        <v>32</v>
      </c>
      <c r="E949" t="s">
        <v>17</v>
      </c>
      <c r="F949">
        <v>2.79</v>
      </c>
      <c r="G949">
        <v>3</v>
      </c>
      <c r="H949">
        <v>99.8</v>
      </c>
      <c r="I949">
        <v>0.63</v>
      </c>
      <c r="J949" t="s">
        <v>18</v>
      </c>
      <c r="K949">
        <v>33</v>
      </c>
      <c r="L949">
        <v>19</v>
      </c>
      <c r="M949">
        <v>0.93</v>
      </c>
      <c r="N949">
        <v>5</v>
      </c>
      <c r="O949">
        <v>0.52</v>
      </c>
      <c r="P949" t="s">
        <v>19</v>
      </c>
    </row>
    <row r="950" spans="1:16" x14ac:dyDescent="0.35">
      <c r="A950" t="s">
        <v>976</v>
      </c>
      <c r="B950">
        <v>949</v>
      </c>
      <c r="C950">
        <v>23</v>
      </c>
      <c r="D950" t="s">
        <v>32</v>
      </c>
      <c r="E950" t="s">
        <v>17</v>
      </c>
      <c r="F950">
        <v>3.34</v>
      </c>
      <c r="G950">
        <v>5</v>
      </c>
      <c r="H950">
        <v>79</v>
      </c>
      <c r="I950">
        <v>0.81</v>
      </c>
      <c r="J950" t="s">
        <v>18</v>
      </c>
      <c r="K950">
        <v>18</v>
      </c>
      <c r="L950">
        <v>76</v>
      </c>
      <c r="M950">
        <v>0.86</v>
      </c>
      <c r="N950">
        <v>0</v>
      </c>
      <c r="O950">
        <v>0.6</v>
      </c>
      <c r="P950" t="s">
        <v>24</v>
      </c>
    </row>
    <row r="951" spans="1:16" x14ac:dyDescent="0.35">
      <c r="A951" t="s">
        <v>977</v>
      </c>
      <c r="B951">
        <v>950</v>
      </c>
      <c r="C951">
        <v>22</v>
      </c>
      <c r="D951" t="s">
        <v>21</v>
      </c>
      <c r="E951" t="s">
        <v>30</v>
      </c>
      <c r="F951">
        <v>3.78</v>
      </c>
      <c r="G951">
        <v>4</v>
      </c>
      <c r="H951">
        <v>92.6</v>
      </c>
      <c r="I951">
        <v>0.76</v>
      </c>
      <c r="J951" t="s">
        <v>28</v>
      </c>
      <c r="K951">
        <v>6</v>
      </c>
      <c r="L951">
        <v>71</v>
      </c>
      <c r="M951">
        <v>0.85</v>
      </c>
      <c r="N951">
        <v>10</v>
      </c>
      <c r="O951">
        <v>0.79</v>
      </c>
      <c r="P951" t="s">
        <v>24</v>
      </c>
    </row>
    <row r="952" spans="1:16" x14ac:dyDescent="0.35">
      <c r="A952" t="s">
        <v>978</v>
      </c>
      <c r="B952">
        <v>951</v>
      </c>
      <c r="C952">
        <v>20</v>
      </c>
      <c r="D952" t="s">
        <v>21</v>
      </c>
      <c r="E952" t="s">
        <v>22</v>
      </c>
      <c r="F952">
        <v>2.61</v>
      </c>
      <c r="G952">
        <v>6</v>
      </c>
      <c r="H952">
        <v>77.3</v>
      </c>
      <c r="I952">
        <v>0.84</v>
      </c>
      <c r="J952" t="s">
        <v>28</v>
      </c>
      <c r="K952">
        <v>30</v>
      </c>
      <c r="L952">
        <v>12</v>
      </c>
      <c r="M952">
        <v>0.77</v>
      </c>
      <c r="N952">
        <v>17</v>
      </c>
      <c r="O952">
        <v>0.89</v>
      </c>
      <c r="P952" t="s">
        <v>24</v>
      </c>
    </row>
    <row r="953" spans="1:16" x14ac:dyDescent="0.35">
      <c r="A953" t="s">
        <v>979</v>
      </c>
      <c r="B953">
        <v>952</v>
      </c>
      <c r="C953">
        <v>21</v>
      </c>
      <c r="D953" t="s">
        <v>21</v>
      </c>
      <c r="E953" t="s">
        <v>30</v>
      </c>
      <c r="F953">
        <v>3.1</v>
      </c>
      <c r="G953">
        <v>6</v>
      </c>
      <c r="H953">
        <v>91.9</v>
      </c>
      <c r="I953">
        <v>0.64</v>
      </c>
      <c r="J953" t="s">
        <v>23</v>
      </c>
      <c r="K953">
        <v>17</v>
      </c>
      <c r="L953">
        <v>27</v>
      </c>
      <c r="M953">
        <v>0.85</v>
      </c>
      <c r="N953">
        <v>9</v>
      </c>
      <c r="O953">
        <v>0.57999999999999996</v>
      </c>
      <c r="P953" t="s">
        <v>19</v>
      </c>
    </row>
    <row r="954" spans="1:16" x14ac:dyDescent="0.35">
      <c r="A954" t="s">
        <v>980</v>
      </c>
      <c r="B954">
        <v>953</v>
      </c>
      <c r="C954">
        <v>22</v>
      </c>
      <c r="D954" t="s">
        <v>16</v>
      </c>
      <c r="E954" t="s">
        <v>30</v>
      </c>
      <c r="F954">
        <v>3.58</v>
      </c>
      <c r="G954">
        <v>5</v>
      </c>
      <c r="H954">
        <v>83.8</v>
      </c>
      <c r="I954">
        <v>0.77</v>
      </c>
      <c r="J954" t="s">
        <v>28</v>
      </c>
      <c r="K954">
        <v>39</v>
      </c>
      <c r="L954">
        <v>34</v>
      </c>
      <c r="M954">
        <v>0.97</v>
      </c>
      <c r="N954">
        <v>17</v>
      </c>
      <c r="O954">
        <v>0.55000000000000004</v>
      </c>
      <c r="P954" t="s">
        <v>24</v>
      </c>
    </row>
    <row r="955" spans="1:16" x14ac:dyDescent="0.35">
      <c r="A955" t="s">
        <v>981</v>
      </c>
      <c r="B955">
        <v>954</v>
      </c>
      <c r="C955">
        <v>21</v>
      </c>
      <c r="D955" t="s">
        <v>21</v>
      </c>
      <c r="E955" t="s">
        <v>22</v>
      </c>
      <c r="F955">
        <v>2.83</v>
      </c>
      <c r="G955">
        <v>3</v>
      </c>
      <c r="H955">
        <v>95.5</v>
      </c>
      <c r="I955">
        <v>0.67</v>
      </c>
      <c r="J955" t="s">
        <v>18</v>
      </c>
      <c r="K955">
        <v>13</v>
      </c>
      <c r="L955">
        <v>29</v>
      </c>
      <c r="M955">
        <v>0.83</v>
      </c>
      <c r="N955">
        <v>0</v>
      </c>
      <c r="O955">
        <v>0.87</v>
      </c>
      <c r="P955" t="s">
        <v>19</v>
      </c>
    </row>
    <row r="956" spans="1:16" x14ac:dyDescent="0.35">
      <c r="A956" t="s">
        <v>982</v>
      </c>
      <c r="B956">
        <v>955</v>
      </c>
      <c r="C956">
        <v>20</v>
      </c>
      <c r="D956" t="s">
        <v>21</v>
      </c>
      <c r="E956" t="s">
        <v>22</v>
      </c>
      <c r="F956">
        <v>2.34</v>
      </c>
      <c r="G956">
        <v>3</v>
      </c>
      <c r="H956">
        <v>76.400000000000006</v>
      </c>
      <c r="I956">
        <v>0.99</v>
      </c>
      <c r="J956" t="s">
        <v>18</v>
      </c>
      <c r="K956">
        <v>38</v>
      </c>
      <c r="L956">
        <v>67</v>
      </c>
      <c r="M956">
        <v>0.63</v>
      </c>
      <c r="N956">
        <v>18</v>
      </c>
      <c r="O956">
        <v>0.65</v>
      </c>
      <c r="P956" t="s">
        <v>19</v>
      </c>
    </row>
    <row r="957" spans="1:16" x14ac:dyDescent="0.35">
      <c r="A957" t="s">
        <v>983</v>
      </c>
      <c r="B957">
        <v>956</v>
      </c>
      <c r="C957">
        <v>20</v>
      </c>
      <c r="D957" t="s">
        <v>32</v>
      </c>
      <c r="E957" t="s">
        <v>22</v>
      </c>
      <c r="F957">
        <v>2.95</v>
      </c>
      <c r="G957">
        <v>4</v>
      </c>
      <c r="H957">
        <v>84.2</v>
      </c>
      <c r="I957">
        <v>0.82</v>
      </c>
      <c r="J957" t="s">
        <v>28</v>
      </c>
      <c r="K957">
        <v>35</v>
      </c>
      <c r="L957">
        <v>59</v>
      </c>
      <c r="M957">
        <v>0.79</v>
      </c>
      <c r="N957">
        <v>15</v>
      </c>
      <c r="O957">
        <v>0.98</v>
      </c>
      <c r="P957" t="s">
        <v>24</v>
      </c>
    </row>
    <row r="958" spans="1:16" x14ac:dyDescent="0.35">
      <c r="A958" t="s">
        <v>984</v>
      </c>
      <c r="B958">
        <v>957</v>
      </c>
      <c r="C958">
        <v>21</v>
      </c>
      <c r="D958" t="s">
        <v>21</v>
      </c>
      <c r="E958" t="s">
        <v>46</v>
      </c>
      <c r="F958">
        <v>2.11</v>
      </c>
      <c r="G958">
        <v>3</v>
      </c>
      <c r="H958">
        <v>85.2</v>
      </c>
      <c r="I958">
        <v>0.87</v>
      </c>
      <c r="J958" t="s">
        <v>28</v>
      </c>
      <c r="K958">
        <v>16</v>
      </c>
      <c r="L958">
        <v>88</v>
      </c>
      <c r="M958">
        <v>0.72</v>
      </c>
      <c r="N958">
        <v>6</v>
      </c>
      <c r="O958">
        <v>0.86</v>
      </c>
      <c r="P958" t="s">
        <v>19</v>
      </c>
    </row>
    <row r="959" spans="1:16" x14ac:dyDescent="0.35">
      <c r="A959" t="s">
        <v>985</v>
      </c>
      <c r="B959">
        <v>958</v>
      </c>
      <c r="C959">
        <v>18</v>
      </c>
      <c r="D959" t="s">
        <v>16</v>
      </c>
      <c r="E959" t="s">
        <v>22</v>
      </c>
      <c r="F959">
        <v>3.88</v>
      </c>
      <c r="G959">
        <v>3</v>
      </c>
      <c r="H959">
        <v>76.7</v>
      </c>
      <c r="I959">
        <v>0.73</v>
      </c>
      <c r="J959" t="s">
        <v>28</v>
      </c>
      <c r="K959">
        <v>36</v>
      </c>
      <c r="L959">
        <v>19</v>
      </c>
      <c r="M959">
        <v>0.78</v>
      </c>
      <c r="N959">
        <v>14</v>
      </c>
      <c r="O959">
        <v>0.66</v>
      </c>
      <c r="P959" t="s">
        <v>19</v>
      </c>
    </row>
    <row r="960" spans="1:16" x14ac:dyDescent="0.35">
      <c r="A960" t="s">
        <v>986</v>
      </c>
      <c r="B960">
        <v>959</v>
      </c>
      <c r="C960">
        <v>19</v>
      </c>
      <c r="D960" t="s">
        <v>21</v>
      </c>
      <c r="E960" t="s">
        <v>17</v>
      </c>
      <c r="F960">
        <v>2.15</v>
      </c>
      <c r="G960">
        <v>4</v>
      </c>
      <c r="H960">
        <v>65.8</v>
      </c>
      <c r="I960">
        <v>0.64</v>
      </c>
      <c r="J960" t="s">
        <v>23</v>
      </c>
      <c r="K960">
        <v>8</v>
      </c>
      <c r="L960">
        <v>30</v>
      </c>
      <c r="M960">
        <v>0.76</v>
      </c>
      <c r="N960">
        <v>0</v>
      </c>
      <c r="O960">
        <v>0.64</v>
      </c>
      <c r="P960" t="s">
        <v>19</v>
      </c>
    </row>
    <row r="961" spans="1:16" x14ac:dyDescent="0.35">
      <c r="A961" t="s">
        <v>987</v>
      </c>
      <c r="B961">
        <v>960</v>
      </c>
      <c r="C961">
        <v>24</v>
      </c>
      <c r="D961" t="s">
        <v>16</v>
      </c>
      <c r="E961" t="s">
        <v>30</v>
      </c>
      <c r="F961">
        <v>2.88</v>
      </c>
      <c r="G961">
        <v>5</v>
      </c>
      <c r="H961">
        <v>63.7</v>
      </c>
      <c r="I961">
        <v>0.99</v>
      </c>
      <c r="J961" t="s">
        <v>23</v>
      </c>
      <c r="K961">
        <v>19</v>
      </c>
      <c r="L961">
        <v>38</v>
      </c>
      <c r="M961">
        <v>0.93</v>
      </c>
      <c r="N961">
        <v>8</v>
      </c>
      <c r="O961">
        <v>0.76</v>
      </c>
      <c r="P961" t="s">
        <v>24</v>
      </c>
    </row>
    <row r="962" spans="1:16" x14ac:dyDescent="0.35">
      <c r="A962" t="s">
        <v>988</v>
      </c>
      <c r="B962">
        <v>961</v>
      </c>
      <c r="C962">
        <v>18</v>
      </c>
      <c r="D962" t="s">
        <v>21</v>
      </c>
      <c r="E962" t="s">
        <v>46</v>
      </c>
      <c r="F962">
        <v>3.06</v>
      </c>
      <c r="G962">
        <v>6</v>
      </c>
      <c r="H962">
        <v>60.7</v>
      </c>
      <c r="I962">
        <v>0.71</v>
      </c>
      <c r="J962" t="s">
        <v>18</v>
      </c>
      <c r="K962">
        <v>27</v>
      </c>
      <c r="L962">
        <v>19</v>
      </c>
      <c r="M962">
        <v>0.83</v>
      </c>
      <c r="N962">
        <v>1</v>
      </c>
      <c r="O962">
        <v>0.54</v>
      </c>
      <c r="P962" t="s">
        <v>19</v>
      </c>
    </row>
    <row r="963" spans="1:16" x14ac:dyDescent="0.35">
      <c r="A963" t="s">
        <v>989</v>
      </c>
      <c r="B963">
        <v>962</v>
      </c>
      <c r="C963">
        <v>18</v>
      </c>
      <c r="D963" t="s">
        <v>21</v>
      </c>
      <c r="E963" t="s">
        <v>22</v>
      </c>
      <c r="F963">
        <v>3.97</v>
      </c>
      <c r="G963">
        <v>4</v>
      </c>
      <c r="H963">
        <v>94.9</v>
      </c>
      <c r="I963">
        <v>0.77</v>
      </c>
      <c r="J963" t="s">
        <v>23</v>
      </c>
      <c r="K963">
        <v>19</v>
      </c>
      <c r="L963">
        <v>22</v>
      </c>
      <c r="M963">
        <v>0.59</v>
      </c>
      <c r="N963">
        <v>16</v>
      </c>
      <c r="O963">
        <v>0.56000000000000005</v>
      </c>
      <c r="P963" t="s">
        <v>24</v>
      </c>
    </row>
    <row r="964" spans="1:16" x14ac:dyDescent="0.35">
      <c r="A964" t="s">
        <v>990</v>
      </c>
      <c r="B964">
        <v>963</v>
      </c>
      <c r="C964">
        <v>23</v>
      </c>
      <c r="D964" t="s">
        <v>21</v>
      </c>
      <c r="E964" t="s">
        <v>46</v>
      </c>
      <c r="F964">
        <v>2.33</v>
      </c>
      <c r="G964">
        <v>5</v>
      </c>
      <c r="H964">
        <v>69.5</v>
      </c>
      <c r="I964">
        <v>0.86</v>
      </c>
      <c r="J964" t="s">
        <v>23</v>
      </c>
      <c r="K964">
        <v>35</v>
      </c>
      <c r="L964">
        <v>56</v>
      </c>
      <c r="M964">
        <v>0.53</v>
      </c>
      <c r="N964">
        <v>9</v>
      </c>
      <c r="O964">
        <v>0.59</v>
      </c>
      <c r="P964" t="s">
        <v>19</v>
      </c>
    </row>
    <row r="965" spans="1:16" x14ac:dyDescent="0.35">
      <c r="A965" t="s">
        <v>991</v>
      </c>
      <c r="B965">
        <v>964</v>
      </c>
      <c r="C965">
        <v>24</v>
      </c>
      <c r="D965" t="s">
        <v>21</v>
      </c>
      <c r="E965" t="s">
        <v>22</v>
      </c>
      <c r="F965">
        <v>2.23</v>
      </c>
      <c r="G965">
        <v>4</v>
      </c>
      <c r="H965">
        <v>68.5</v>
      </c>
      <c r="I965">
        <v>0.61</v>
      </c>
      <c r="J965" t="s">
        <v>23</v>
      </c>
      <c r="K965">
        <v>26</v>
      </c>
      <c r="L965">
        <v>32</v>
      </c>
      <c r="M965">
        <v>0.71</v>
      </c>
      <c r="N965">
        <v>5</v>
      </c>
      <c r="O965">
        <v>0.89</v>
      </c>
      <c r="P965" t="s">
        <v>19</v>
      </c>
    </row>
    <row r="966" spans="1:16" x14ac:dyDescent="0.35">
      <c r="A966" t="s">
        <v>992</v>
      </c>
      <c r="B966">
        <v>965</v>
      </c>
      <c r="C966">
        <v>24</v>
      </c>
      <c r="D966" t="s">
        <v>16</v>
      </c>
      <c r="E966" t="s">
        <v>46</v>
      </c>
      <c r="F966">
        <v>2.02</v>
      </c>
      <c r="G966">
        <v>5</v>
      </c>
      <c r="H966">
        <v>89.4</v>
      </c>
      <c r="I966">
        <v>0.92</v>
      </c>
      <c r="J966" t="s">
        <v>23</v>
      </c>
      <c r="K966">
        <v>7</v>
      </c>
      <c r="L966">
        <v>59</v>
      </c>
      <c r="M966">
        <v>0.51</v>
      </c>
      <c r="N966">
        <v>4</v>
      </c>
      <c r="O966">
        <v>0.76</v>
      </c>
      <c r="P966" t="s">
        <v>19</v>
      </c>
    </row>
    <row r="967" spans="1:16" x14ac:dyDescent="0.35">
      <c r="A967" t="s">
        <v>993</v>
      </c>
      <c r="B967">
        <v>966</v>
      </c>
      <c r="C967">
        <v>18</v>
      </c>
      <c r="D967" t="s">
        <v>16</v>
      </c>
      <c r="E967" t="s">
        <v>30</v>
      </c>
      <c r="F967">
        <v>2.31</v>
      </c>
      <c r="G967">
        <v>4</v>
      </c>
      <c r="H967">
        <v>72.8</v>
      </c>
      <c r="I967">
        <v>0.81</v>
      </c>
      <c r="J967" t="s">
        <v>18</v>
      </c>
      <c r="K967">
        <v>31</v>
      </c>
      <c r="L967">
        <v>13</v>
      </c>
      <c r="M967">
        <v>0.66</v>
      </c>
      <c r="N967">
        <v>7</v>
      </c>
      <c r="O967">
        <v>0.51</v>
      </c>
      <c r="P967" t="s">
        <v>19</v>
      </c>
    </row>
    <row r="968" spans="1:16" x14ac:dyDescent="0.35">
      <c r="A968" t="s">
        <v>994</v>
      </c>
      <c r="B968">
        <v>967</v>
      </c>
      <c r="C968">
        <v>22</v>
      </c>
      <c r="D968" t="s">
        <v>32</v>
      </c>
      <c r="E968" t="s">
        <v>30</v>
      </c>
      <c r="F968">
        <v>2.41</v>
      </c>
      <c r="G968">
        <v>5</v>
      </c>
      <c r="H968">
        <v>80.2</v>
      </c>
      <c r="I968">
        <v>0.71</v>
      </c>
      <c r="J968" t="s">
        <v>28</v>
      </c>
      <c r="K968">
        <v>0</v>
      </c>
      <c r="L968">
        <v>76</v>
      </c>
      <c r="M968">
        <v>0.68</v>
      </c>
      <c r="N968">
        <v>7</v>
      </c>
      <c r="O968">
        <v>0.84</v>
      </c>
      <c r="P968" t="s">
        <v>19</v>
      </c>
    </row>
    <row r="969" spans="1:16" x14ac:dyDescent="0.35">
      <c r="A969" t="s">
        <v>995</v>
      </c>
      <c r="B969">
        <v>968</v>
      </c>
      <c r="C969">
        <v>23</v>
      </c>
      <c r="D969" t="s">
        <v>16</v>
      </c>
      <c r="E969" t="s">
        <v>17</v>
      </c>
      <c r="F969">
        <v>3.26</v>
      </c>
      <c r="G969">
        <v>4</v>
      </c>
      <c r="H969">
        <v>66.5</v>
      </c>
      <c r="I969">
        <v>0.62</v>
      </c>
      <c r="J969" t="s">
        <v>18</v>
      </c>
      <c r="K969">
        <v>16</v>
      </c>
      <c r="L969">
        <v>62</v>
      </c>
      <c r="M969">
        <v>0.69</v>
      </c>
      <c r="N969">
        <v>4</v>
      </c>
      <c r="O969">
        <v>0.71</v>
      </c>
      <c r="P969" t="s">
        <v>19</v>
      </c>
    </row>
    <row r="970" spans="1:16" x14ac:dyDescent="0.35">
      <c r="A970" t="s">
        <v>996</v>
      </c>
      <c r="B970">
        <v>969</v>
      </c>
      <c r="C970">
        <v>23</v>
      </c>
      <c r="D970" t="s">
        <v>21</v>
      </c>
      <c r="E970" t="s">
        <v>17</v>
      </c>
      <c r="F970">
        <v>2.44</v>
      </c>
      <c r="G970">
        <v>5</v>
      </c>
      <c r="H970">
        <v>98.4</v>
      </c>
      <c r="I970">
        <v>0.66</v>
      </c>
      <c r="J970" t="s">
        <v>23</v>
      </c>
      <c r="K970">
        <v>8</v>
      </c>
      <c r="L970">
        <v>11</v>
      </c>
      <c r="M970">
        <v>0.99</v>
      </c>
      <c r="N970">
        <v>11</v>
      </c>
      <c r="O970">
        <v>0.76</v>
      </c>
      <c r="P970" t="s">
        <v>19</v>
      </c>
    </row>
    <row r="971" spans="1:16" x14ac:dyDescent="0.35">
      <c r="A971" t="s">
        <v>997</v>
      </c>
      <c r="B971">
        <v>970</v>
      </c>
      <c r="C971">
        <v>20</v>
      </c>
      <c r="D971" t="s">
        <v>32</v>
      </c>
      <c r="E971" t="s">
        <v>22</v>
      </c>
      <c r="F971">
        <v>2.04</v>
      </c>
      <c r="G971">
        <v>4</v>
      </c>
      <c r="H971">
        <v>94.1</v>
      </c>
      <c r="I971">
        <v>0.96</v>
      </c>
      <c r="J971" t="s">
        <v>28</v>
      </c>
      <c r="K971">
        <v>19</v>
      </c>
      <c r="L971">
        <v>77</v>
      </c>
      <c r="M971">
        <v>0.65</v>
      </c>
      <c r="N971">
        <v>6</v>
      </c>
      <c r="O971">
        <v>0.61</v>
      </c>
      <c r="P971" t="s">
        <v>19</v>
      </c>
    </row>
    <row r="972" spans="1:16" x14ac:dyDescent="0.35">
      <c r="A972" t="s">
        <v>998</v>
      </c>
      <c r="B972">
        <v>971</v>
      </c>
      <c r="C972">
        <v>25</v>
      </c>
      <c r="D972" t="s">
        <v>32</v>
      </c>
      <c r="E972" t="s">
        <v>30</v>
      </c>
      <c r="F972">
        <v>3.65</v>
      </c>
      <c r="G972">
        <v>6</v>
      </c>
      <c r="H972">
        <v>94.6</v>
      </c>
      <c r="I972">
        <v>0.87</v>
      </c>
      <c r="J972" t="s">
        <v>28</v>
      </c>
      <c r="K972">
        <v>31</v>
      </c>
      <c r="L972">
        <v>74</v>
      </c>
      <c r="M972">
        <v>0.63</v>
      </c>
      <c r="N972">
        <v>12</v>
      </c>
      <c r="O972">
        <v>0.78</v>
      </c>
      <c r="P972" t="s">
        <v>41</v>
      </c>
    </row>
    <row r="973" spans="1:16" x14ac:dyDescent="0.35">
      <c r="A973" t="s">
        <v>999</v>
      </c>
      <c r="B973">
        <v>972</v>
      </c>
      <c r="C973">
        <v>24</v>
      </c>
      <c r="D973" t="s">
        <v>32</v>
      </c>
      <c r="E973" t="s">
        <v>46</v>
      </c>
      <c r="F973">
        <v>2.73</v>
      </c>
      <c r="G973">
        <v>6</v>
      </c>
      <c r="H973">
        <v>76.3</v>
      </c>
      <c r="I973">
        <v>0.7</v>
      </c>
      <c r="J973" t="s">
        <v>28</v>
      </c>
      <c r="K973">
        <v>1</v>
      </c>
      <c r="L973">
        <v>88</v>
      </c>
      <c r="M973">
        <v>0.56000000000000005</v>
      </c>
      <c r="N973">
        <v>12</v>
      </c>
      <c r="O973">
        <v>0.99</v>
      </c>
      <c r="P973" t="s">
        <v>19</v>
      </c>
    </row>
    <row r="974" spans="1:16" x14ac:dyDescent="0.35">
      <c r="A974" t="s">
        <v>1000</v>
      </c>
      <c r="B974">
        <v>973</v>
      </c>
      <c r="C974">
        <v>18</v>
      </c>
      <c r="D974" t="s">
        <v>21</v>
      </c>
      <c r="E974" t="s">
        <v>46</v>
      </c>
      <c r="F974">
        <v>2.71</v>
      </c>
      <c r="G974">
        <v>3</v>
      </c>
      <c r="H974">
        <v>90.5</v>
      </c>
      <c r="I974">
        <v>0.63</v>
      </c>
      <c r="J974" t="s">
        <v>18</v>
      </c>
      <c r="K974">
        <v>31</v>
      </c>
      <c r="L974">
        <v>66</v>
      </c>
      <c r="M974">
        <v>0.76</v>
      </c>
      <c r="N974">
        <v>16</v>
      </c>
      <c r="O974">
        <v>0.54</v>
      </c>
      <c r="P974" t="s">
        <v>19</v>
      </c>
    </row>
    <row r="975" spans="1:16" x14ac:dyDescent="0.35">
      <c r="A975" t="s">
        <v>1001</v>
      </c>
      <c r="B975">
        <v>974</v>
      </c>
      <c r="C975">
        <v>20</v>
      </c>
      <c r="D975" t="s">
        <v>16</v>
      </c>
      <c r="E975" t="s">
        <v>46</v>
      </c>
      <c r="F975">
        <v>2.6</v>
      </c>
      <c r="G975">
        <v>5</v>
      </c>
      <c r="H975">
        <v>65.8</v>
      </c>
      <c r="I975">
        <v>0.88</v>
      </c>
      <c r="J975" t="s">
        <v>28</v>
      </c>
      <c r="K975">
        <v>8</v>
      </c>
      <c r="L975">
        <v>79</v>
      </c>
      <c r="M975">
        <v>0.57999999999999996</v>
      </c>
      <c r="N975">
        <v>3</v>
      </c>
      <c r="O975">
        <v>0.64</v>
      </c>
      <c r="P975" t="s">
        <v>24</v>
      </c>
    </row>
    <row r="976" spans="1:16" x14ac:dyDescent="0.35">
      <c r="A976" t="s">
        <v>1002</v>
      </c>
      <c r="B976">
        <v>975</v>
      </c>
      <c r="C976">
        <v>21</v>
      </c>
      <c r="D976" t="s">
        <v>21</v>
      </c>
      <c r="E976" t="s">
        <v>17</v>
      </c>
      <c r="F976">
        <v>3.95</v>
      </c>
      <c r="G976">
        <v>4</v>
      </c>
      <c r="H976">
        <v>60.3</v>
      </c>
      <c r="I976">
        <v>0.83</v>
      </c>
      <c r="J976" t="s">
        <v>18</v>
      </c>
      <c r="K976">
        <v>29</v>
      </c>
      <c r="L976">
        <v>16</v>
      </c>
      <c r="M976">
        <v>0.81</v>
      </c>
      <c r="N976">
        <v>17</v>
      </c>
      <c r="O976">
        <v>0.62</v>
      </c>
      <c r="P976" t="s">
        <v>24</v>
      </c>
    </row>
    <row r="977" spans="1:16" x14ac:dyDescent="0.35">
      <c r="A977" t="s">
        <v>1003</v>
      </c>
      <c r="B977">
        <v>976</v>
      </c>
      <c r="C977">
        <v>19</v>
      </c>
      <c r="D977" t="s">
        <v>32</v>
      </c>
      <c r="E977" t="s">
        <v>46</v>
      </c>
      <c r="F977">
        <v>2.34</v>
      </c>
      <c r="G977">
        <v>5</v>
      </c>
      <c r="H977">
        <v>60.8</v>
      </c>
      <c r="I977">
        <v>0.76</v>
      </c>
      <c r="J977" t="s">
        <v>18</v>
      </c>
      <c r="K977">
        <v>19</v>
      </c>
      <c r="L977">
        <v>28</v>
      </c>
      <c r="M977">
        <v>0.57999999999999996</v>
      </c>
      <c r="N977">
        <v>9</v>
      </c>
      <c r="O977">
        <v>0.62</v>
      </c>
      <c r="P977" t="s">
        <v>19</v>
      </c>
    </row>
    <row r="978" spans="1:16" x14ac:dyDescent="0.35">
      <c r="A978" t="s">
        <v>1004</v>
      </c>
      <c r="B978">
        <v>977</v>
      </c>
      <c r="C978">
        <v>25</v>
      </c>
      <c r="D978" t="s">
        <v>21</v>
      </c>
      <c r="E978" t="s">
        <v>17</v>
      </c>
      <c r="F978">
        <v>3.8</v>
      </c>
      <c r="G978">
        <v>6</v>
      </c>
      <c r="H978">
        <v>83.5</v>
      </c>
      <c r="I978">
        <v>0.75</v>
      </c>
      <c r="J978" t="s">
        <v>23</v>
      </c>
      <c r="K978">
        <v>37</v>
      </c>
      <c r="L978">
        <v>53</v>
      </c>
      <c r="M978">
        <v>0.79</v>
      </c>
      <c r="N978">
        <v>2</v>
      </c>
      <c r="O978">
        <v>0.69</v>
      </c>
      <c r="P978" t="s">
        <v>24</v>
      </c>
    </row>
    <row r="979" spans="1:16" x14ac:dyDescent="0.35">
      <c r="A979" t="s">
        <v>1005</v>
      </c>
      <c r="B979">
        <v>978</v>
      </c>
      <c r="C979">
        <v>25</v>
      </c>
      <c r="D979" t="s">
        <v>21</v>
      </c>
      <c r="E979" t="s">
        <v>17</v>
      </c>
      <c r="F979">
        <v>3.55</v>
      </c>
      <c r="G979">
        <v>5</v>
      </c>
      <c r="H979">
        <v>78.2</v>
      </c>
      <c r="I979">
        <v>0.69</v>
      </c>
      <c r="J979" t="s">
        <v>23</v>
      </c>
      <c r="K979">
        <v>0</v>
      </c>
      <c r="L979">
        <v>72</v>
      </c>
      <c r="M979">
        <v>0.91</v>
      </c>
      <c r="N979">
        <v>11</v>
      </c>
      <c r="O979">
        <v>0.91</v>
      </c>
      <c r="P979" t="s">
        <v>19</v>
      </c>
    </row>
    <row r="980" spans="1:16" x14ac:dyDescent="0.35">
      <c r="A980" t="s">
        <v>1006</v>
      </c>
      <c r="B980">
        <v>979</v>
      </c>
      <c r="C980">
        <v>25</v>
      </c>
      <c r="D980" t="s">
        <v>16</v>
      </c>
      <c r="E980" t="s">
        <v>22</v>
      </c>
      <c r="F980">
        <v>2.15</v>
      </c>
      <c r="G980">
        <v>4</v>
      </c>
      <c r="H980">
        <v>80.7</v>
      </c>
      <c r="I980">
        <v>0.87</v>
      </c>
      <c r="J980" t="s">
        <v>28</v>
      </c>
      <c r="K980">
        <v>4</v>
      </c>
      <c r="L980">
        <v>74</v>
      </c>
      <c r="M980">
        <v>0.52</v>
      </c>
      <c r="N980">
        <v>0</v>
      </c>
      <c r="O980">
        <v>0.96</v>
      </c>
      <c r="P980" t="s">
        <v>19</v>
      </c>
    </row>
    <row r="981" spans="1:16" x14ac:dyDescent="0.35">
      <c r="A981" t="s">
        <v>1007</v>
      </c>
      <c r="B981">
        <v>980</v>
      </c>
      <c r="C981">
        <v>23</v>
      </c>
      <c r="D981" t="s">
        <v>16</v>
      </c>
      <c r="E981" t="s">
        <v>46</v>
      </c>
      <c r="F981">
        <v>3.97</v>
      </c>
      <c r="G981">
        <v>5</v>
      </c>
      <c r="H981">
        <v>60.3</v>
      </c>
      <c r="I981">
        <v>0.99</v>
      </c>
      <c r="J981" t="s">
        <v>28</v>
      </c>
      <c r="K981">
        <v>34</v>
      </c>
      <c r="L981">
        <v>48</v>
      </c>
      <c r="M981">
        <v>0.71</v>
      </c>
      <c r="N981">
        <v>10</v>
      </c>
      <c r="O981">
        <v>0.6</v>
      </c>
      <c r="P981" t="s">
        <v>41</v>
      </c>
    </row>
    <row r="982" spans="1:16" x14ac:dyDescent="0.35">
      <c r="A982" t="s">
        <v>1008</v>
      </c>
      <c r="B982">
        <v>981</v>
      </c>
      <c r="C982">
        <v>21</v>
      </c>
      <c r="D982" t="s">
        <v>32</v>
      </c>
      <c r="E982" t="s">
        <v>46</v>
      </c>
      <c r="F982">
        <v>2.54</v>
      </c>
      <c r="G982">
        <v>4</v>
      </c>
      <c r="H982">
        <v>76.900000000000006</v>
      </c>
      <c r="I982">
        <v>0.67</v>
      </c>
      <c r="J982" t="s">
        <v>23</v>
      </c>
      <c r="K982">
        <v>35</v>
      </c>
      <c r="L982">
        <v>35</v>
      </c>
      <c r="M982">
        <v>0.73</v>
      </c>
      <c r="N982">
        <v>17</v>
      </c>
      <c r="O982">
        <v>0.77</v>
      </c>
      <c r="P982" t="s">
        <v>19</v>
      </c>
    </row>
    <row r="983" spans="1:16" x14ac:dyDescent="0.35">
      <c r="A983" t="s">
        <v>1009</v>
      </c>
      <c r="B983">
        <v>982</v>
      </c>
      <c r="C983">
        <v>25</v>
      </c>
      <c r="D983" t="s">
        <v>21</v>
      </c>
      <c r="E983" t="s">
        <v>30</v>
      </c>
      <c r="F983">
        <v>2.2000000000000002</v>
      </c>
      <c r="G983">
        <v>6</v>
      </c>
      <c r="H983">
        <v>88.7</v>
      </c>
      <c r="I983">
        <v>0.84</v>
      </c>
      <c r="J983" t="s">
        <v>18</v>
      </c>
      <c r="K983">
        <v>0</v>
      </c>
      <c r="L983">
        <v>53</v>
      </c>
      <c r="M983">
        <v>0.9</v>
      </c>
      <c r="N983">
        <v>12</v>
      </c>
      <c r="O983">
        <v>0.82</v>
      </c>
      <c r="P983" t="s">
        <v>19</v>
      </c>
    </row>
    <row r="984" spans="1:16" x14ac:dyDescent="0.35">
      <c r="A984" t="s">
        <v>1010</v>
      </c>
      <c r="B984">
        <v>983</v>
      </c>
      <c r="C984">
        <v>21</v>
      </c>
      <c r="D984" t="s">
        <v>21</v>
      </c>
      <c r="E984" t="s">
        <v>22</v>
      </c>
      <c r="F984">
        <v>3.66</v>
      </c>
      <c r="G984">
        <v>6</v>
      </c>
      <c r="H984">
        <v>77.7</v>
      </c>
      <c r="I984">
        <v>0.77</v>
      </c>
      <c r="J984" t="s">
        <v>18</v>
      </c>
      <c r="K984">
        <v>13</v>
      </c>
      <c r="L984">
        <v>21</v>
      </c>
      <c r="M984">
        <v>0.73</v>
      </c>
      <c r="N984">
        <v>16</v>
      </c>
      <c r="O984">
        <v>0.76</v>
      </c>
      <c r="P984" t="s">
        <v>24</v>
      </c>
    </row>
    <row r="985" spans="1:16" x14ac:dyDescent="0.35">
      <c r="A985" t="s">
        <v>1011</v>
      </c>
      <c r="B985">
        <v>984</v>
      </c>
      <c r="C985">
        <v>22</v>
      </c>
      <c r="D985" t="s">
        <v>16</v>
      </c>
      <c r="E985" t="s">
        <v>30</v>
      </c>
      <c r="F985">
        <v>3.41</v>
      </c>
      <c r="G985">
        <v>6</v>
      </c>
      <c r="H985">
        <v>89.3</v>
      </c>
      <c r="I985">
        <v>0.78</v>
      </c>
      <c r="J985" t="s">
        <v>23</v>
      </c>
      <c r="K985">
        <v>8</v>
      </c>
      <c r="L985">
        <v>31</v>
      </c>
      <c r="M985">
        <v>0.78</v>
      </c>
      <c r="N985">
        <v>7</v>
      </c>
      <c r="O985">
        <v>0.72</v>
      </c>
      <c r="P985" t="s">
        <v>24</v>
      </c>
    </row>
    <row r="986" spans="1:16" x14ac:dyDescent="0.35">
      <c r="A986" t="s">
        <v>1012</v>
      </c>
      <c r="B986">
        <v>985</v>
      </c>
      <c r="C986">
        <v>25</v>
      </c>
      <c r="D986" t="s">
        <v>21</v>
      </c>
      <c r="E986" t="s">
        <v>22</v>
      </c>
      <c r="F986">
        <v>3.23</v>
      </c>
      <c r="G986">
        <v>3</v>
      </c>
      <c r="H986">
        <v>69.3</v>
      </c>
      <c r="I986">
        <v>0.7</v>
      </c>
      <c r="J986" t="s">
        <v>18</v>
      </c>
      <c r="K986">
        <v>29</v>
      </c>
      <c r="L986">
        <v>86</v>
      </c>
      <c r="M986">
        <v>0.9</v>
      </c>
      <c r="N986">
        <v>19</v>
      </c>
      <c r="O986">
        <v>0.6</v>
      </c>
      <c r="P986" t="s">
        <v>19</v>
      </c>
    </row>
    <row r="987" spans="1:16" x14ac:dyDescent="0.35">
      <c r="A987" t="s">
        <v>1013</v>
      </c>
      <c r="B987">
        <v>986</v>
      </c>
      <c r="C987">
        <v>19</v>
      </c>
      <c r="D987" t="s">
        <v>21</v>
      </c>
      <c r="E987" t="s">
        <v>46</v>
      </c>
      <c r="F987">
        <v>2.31</v>
      </c>
      <c r="G987">
        <v>6</v>
      </c>
      <c r="H987">
        <v>92.5</v>
      </c>
      <c r="I987">
        <v>0.93</v>
      </c>
      <c r="J987" t="s">
        <v>23</v>
      </c>
      <c r="K987">
        <v>23</v>
      </c>
      <c r="L987">
        <v>23</v>
      </c>
      <c r="M987">
        <v>0.78</v>
      </c>
      <c r="N987">
        <v>18</v>
      </c>
      <c r="O987">
        <v>0.74</v>
      </c>
      <c r="P987" t="s">
        <v>19</v>
      </c>
    </row>
    <row r="988" spans="1:16" x14ac:dyDescent="0.35">
      <c r="A988" t="s">
        <v>1014</v>
      </c>
      <c r="B988">
        <v>987</v>
      </c>
      <c r="C988">
        <v>21</v>
      </c>
      <c r="D988" t="s">
        <v>21</v>
      </c>
      <c r="E988" t="s">
        <v>17</v>
      </c>
      <c r="F988">
        <v>2.96</v>
      </c>
      <c r="G988">
        <v>5</v>
      </c>
      <c r="H988">
        <v>83.5</v>
      </c>
      <c r="I988">
        <v>0.79</v>
      </c>
      <c r="J988" t="s">
        <v>23</v>
      </c>
      <c r="K988">
        <v>3</v>
      </c>
      <c r="L988">
        <v>39</v>
      </c>
      <c r="M988">
        <v>0.68</v>
      </c>
      <c r="N988">
        <v>16</v>
      </c>
      <c r="O988">
        <v>0.7</v>
      </c>
      <c r="P988" t="s">
        <v>24</v>
      </c>
    </row>
    <row r="989" spans="1:16" x14ac:dyDescent="0.35">
      <c r="A989" t="s">
        <v>1015</v>
      </c>
      <c r="B989">
        <v>988</v>
      </c>
      <c r="C989">
        <v>21</v>
      </c>
      <c r="D989" t="s">
        <v>16</v>
      </c>
      <c r="E989" t="s">
        <v>17</v>
      </c>
      <c r="F989">
        <v>3.56</v>
      </c>
      <c r="G989">
        <v>3</v>
      </c>
      <c r="H989">
        <v>68.400000000000006</v>
      </c>
      <c r="I989">
        <v>0.82</v>
      </c>
      <c r="J989" t="s">
        <v>28</v>
      </c>
      <c r="K989">
        <v>13</v>
      </c>
      <c r="L989">
        <v>53</v>
      </c>
      <c r="M989">
        <v>0.54</v>
      </c>
      <c r="N989">
        <v>1</v>
      </c>
      <c r="O989">
        <v>0.9</v>
      </c>
      <c r="P989" t="s">
        <v>24</v>
      </c>
    </row>
    <row r="990" spans="1:16" x14ac:dyDescent="0.35">
      <c r="A990" t="s">
        <v>1016</v>
      </c>
      <c r="B990">
        <v>989</v>
      </c>
      <c r="C990">
        <v>19</v>
      </c>
      <c r="D990" t="s">
        <v>32</v>
      </c>
      <c r="E990" t="s">
        <v>17</v>
      </c>
      <c r="F990">
        <v>2.61</v>
      </c>
      <c r="G990">
        <v>6</v>
      </c>
      <c r="H990">
        <v>69.5</v>
      </c>
      <c r="I990">
        <v>0.72</v>
      </c>
      <c r="J990" t="s">
        <v>28</v>
      </c>
      <c r="K990">
        <v>24</v>
      </c>
      <c r="L990">
        <v>47</v>
      </c>
      <c r="M990">
        <v>0.86</v>
      </c>
      <c r="N990">
        <v>2</v>
      </c>
      <c r="O990">
        <v>0.88</v>
      </c>
      <c r="P990" t="s">
        <v>19</v>
      </c>
    </row>
    <row r="991" spans="1:16" x14ac:dyDescent="0.35">
      <c r="A991" t="s">
        <v>1017</v>
      </c>
      <c r="B991">
        <v>990</v>
      </c>
      <c r="C991">
        <v>25</v>
      </c>
      <c r="D991" t="s">
        <v>32</v>
      </c>
      <c r="E991" t="s">
        <v>17</v>
      </c>
      <c r="F991">
        <v>2.62</v>
      </c>
      <c r="G991">
        <v>5</v>
      </c>
      <c r="H991">
        <v>85.1</v>
      </c>
      <c r="I991">
        <v>0.67</v>
      </c>
      <c r="J991" t="s">
        <v>23</v>
      </c>
      <c r="K991">
        <v>3</v>
      </c>
      <c r="L991">
        <v>68</v>
      </c>
      <c r="M991">
        <v>0.94</v>
      </c>
      <c r="N991">
        <v>2</v>
      </c>
      <c r="O991">
        <v>0.56999999999999995</v>
      </c>
      <c r="P991" t="s">
        <v>19</v>
      </c>
    </row>
    <row r="992" spans="1:16" x14ac:dyDescent="0.35">
      <c r="A992" t="s">
        <v>1018</v>
      </c>
      <c r="B992">
        <v>991</v>
      </c>
      <c r="C992">
        <v>19</v>
      </c>
      <c r="D992" t="s">
        <v>21</v>
      </c>
      <c r="E992" t="s">
        <v>17</v>
      </c>
      <c r="F992">
        <v>2.0099999999999998</v>
      </c>
      <c r="G992">
        <v>5</v>
      </c>
      <c r="H992">
        <v>93.2</v>
      </c>
      <c r="I992">
        <v>0.63</v>
      </c>
      <c r="J992" t="s">
        <v>28</v>
      </c>
      <c r="K992">
        <v>24</v>
      </c>
      <c r="L992">
        <v>51</v>
      </c>
      <c r="M992">
        <v>0.99</v>
      </c>
      <c r="N992">
        <v>5</v>
      </c>
      <c r="O992">
        <v>0.54</v>
      </c>
      <c r="P992" t="s">
        <v>19</v>
      </c>
    </row>
    <row r="993" spans="1:16" x14ac:dyDescent="0.35">
      <c r="A993" t="s">
        <v>1019</v>
      </c>
      <c r="B993">
        <v>992</v>
      </c>
      <c r="C993">
        <v>21</v>
      </c>
      <c r="D993" t="s">
        <v>32</v>
      </c>
      <c r="E993" t="s">
        <v>30</v>
      </c>
      <c r="F993">
        <v>2.35</v>
      </c>
      <c r="G993">
        <v>5</v>
      </c>
      <c r="H993">
        <v>76.599999999999994</v>
      </c>
      <c r="I993">
        <v>0.89</v>
      </c>
      <c r="J993" t="s">
        <v>23</v>
      </c>
      <c r="K993">
        <v>9</v>
      </c>
      <c r="L993">
        <v>61</v>
      </c>
      <c r="M993">
        <v>0.96</v>
      </c>
      <c r="N993">
        <v>9</v>
      </c>
      <c r="O993">
        <v>0.95</v>
      </c>
      <c r="P993" t="s">
        <v>19</v>
      </c>
    </row>
    <row r="994" spans="1:16" x14ac:dyDescent="0.35">
      <c r="A994" t="s">
        <v>1020</v>
      </c>
      <c r="B994">
        <v>993</v>
      </c>
      <c r="C994">
        <v>19</v>
      </c>
      <c r="D994" t="s">
        <v>16</v>
      </c>
      <c r="E994" t="s">
        <v>22</v>
      </c>
      <c r="F994">
        <v>3.75</v>
      </c>
      <c r="G994">
        <v>4</v>
      </c>
      <c r="H994">
        <v>70.3</v>
      </c>
      <c r="I994">
        <v>0.68</v>
      </c>
      <c r="J994" t="s">
        <v>18</v>
      </c>
      <c r="K994">
        <v>34</v>
      </c>
      <c r="L994">
        <v>72</v>
      </c>
      <c r="M994">
        <v>0.9</v>
      </c>
      <c r="N994">
        <v>17</v>
      </c>
      <c r="O994">
        <v>0.77</v>
      </c>
      <c r="P994" t="s">
        <v>19</v>
      </c>
    </row>
    <row r="995" spans="1:16" x14ac:dyDescent="0.35">
      <c r="A995" t="s">
        <v>1021</v>
      </c>
      <c r="B995">
        <v>994</v>
      </c>
      <c r="C995">
        <v>21</v>
      </c>
      <c r="D995" t="s">
        <v>16</v>
      </c>
      <c r="E995" t="s">
        <v>46</v>
      </c>
      <c r="F995">
        <v>2.88</v>
      </c>
      <c r="G995">
        <v>3</v>
      </c>
      <c r="H995">
        <v>94.7</v>
      </c>
      <c r="I995">
        <v>0.88</v>
      </c>
      <c r="J995" t="s">
        <v>18</v>
      </c>
      <c r="K995">
        <v>6</v>
      </c>
      <c r="L995">
        <v>70</v>
      </c>
      <c r="M995">
        <v>0.82</v>
      </c>
      <c r="N995">
        <v>17</v>
      </c>
      <c r="O995">
        <v>0.93</v>
      </c>
      <c r="P995" t="s">
        <v>24</v>
      </c>
    </row>
    <row r="996" spans="1:16" x14ac:dyDescent="0.35">
      <c r="A996" t="s">
        <v>1022</v>
      </c>
      <c r="B996">
        <v>995</v>
      </c>
      <c r="C996">
        <v>21</v>
      </c>
      <c r="D996" t="s">
        <v>32</v>
      </c>
      <c r="E996" t="s">
        <v>30</v>
      </c>
      <c r="F996">
        <v>3.97</v>
      </c>
      <c r="G996">
        <v>5</v>
      </c>
      <c r="H996">
        <v>86.8</v>
      </c>
      <c r="I996">
        <v>0.76</v>
      </c>
      <c r="J996" t="s">
        <v>18</v>
      </c>
      <c r="K996">
        <v>12</v>
      </c>
      <c r="L996">
        <v>43</v>
      </c>
      <c r="M996">
        <v>0.89</v>
      </c>
      <c r="N996">
        <v>13</v>
      </c>
      <c r="O996">
        <v>0.53</v>
      </c>
      <c r="P996" t="s">
        <v>24</v>
      </c>
    </row>
    <row r="997" spans="1:16" x14ac:dyDescent="0.35">
      <c r="A997" t="s">
        <v>1023</v>
      </c>
      <c r="B997">
        <v>996</v>
      </c>
      <c r="C997">
        <v>22</v>
      </c>
      <c r="D997" t="s">
        <v>32</v>
      </c>
      <c r="E997" t="s">
        <v>22</v>
      </c>
      <c r="F997">
        <v>2.79</v>
      </c>
      <c r="G997">
        <v>4</v>
      </c>
      <c r="H997">
        <v>77.900000000000006</v>
      </c>
      <c r="I997">
        <v>0.77</v>
      </c>
      <c r="J997" t="s">
        <v>18</v>
      </c>
      <c r="K997">
        <v>3</v>
      </c>
      <c r="L997">
        <v>48</v>
      </c>
      <c r="M997">
        <v>0.72</v>
      </c>
      <c r="N997">
        <v>15</v>
      </c>
      <c r="O997">
        <v>0.76</v>
      </c>
      <c r="P997" t="s">
        <v>24</v>
      </c>
    </row>
    <row r="998" spans="1:16" x14ac:dyDescent="0.35">
      <c r="A998" t="s">
        <v>1024</v>
      </c>
      <c r="B998">
        <v>997</v>
      </c>
      <c r="C998">
        <v>18</v>
      </c>
      <c r="D998" t="s">
        <v>21</v>
      </c>
      <c r="E998" t="s">
        <v>17</v>
      </c>
      <c r="F998">
        <v>3.43</v>
      </c>
      <c r="G998">
        <v>6</v>
      </c>
      <c r="H998">
        <v>79.5</v>
      </c>
      <c r="I998">
        <v>0.79</v>
      </c>
      <c r="J998" t="s">
        <v>23</v>
      </c>
      <c r="K998">
        <v>35</v>
      </c>
      <c r="L998">
        <v>50</v>
      </c>
      <c r="M998">
        <v>0.8</v>
      </c>
      <c r="N998">
        <v>6</v>
      </c>
      <c r="O998">
        <v>0.77</v>
      </c>
      <c r="P998" t="s">
        <v>24</v>
      </c>
    </row>
    <row r="999" spans="1:16" x14ac:dyDescent="0.35">
      <c r="A999" t="s">
        <v>1025</v>
      </c>
      <c r="B999">
        <v>998</v>
      </c>
      <c r="C999">
        <v>21</v>
      </c>
      <c r="D999" t="s">
        <v>32</v>
      </c>
      <c r="E999" t="s">
        <v>22</v>
      </c>
      <c r="F999">
        <v>2.56</v>
      </c>
      <c r="G999">
        <v>5</v>
      </c>
      <c r="H999">
        <v>68.2</v>
      </c>
      <c r="I999">
        <v>0.75</v>
      </c>
      <c r="J999" t="s">
        <v>18</v>
      </c>
      <c r="K999">
        <v>13</v>
      </c>
      <c r="L999">
        <v>46</v>
      </c>
      <c r="M999">
        <v>0.67</v>
      </c>
      <c r="N999">
        <v>0</v>
      </c>
      <c r="O999">
        <v>0.93</v>
      </c>
      <c r="P999" t="s">
        <v>24</v>
      </c>
    </row>
    <row r="1000" spans="1:16" x14ac:dyDescent="0.35">
      <c r="A1000" t="s">
        <v>1026</v>
      </c>
      <c r="B1000">
        <v>999</v>
      </c>
      <c r="C1000">
        <v>25</v>
      </c>
      <c r="D1000" t="s">
        <v>21</v>
      </c>
      <c r="E1000" t="s">
        <v>22</v>
      </c>
      <c r="F1000">
        <v>2.73</v>
      </c>
      <c r="G1000">
        <v>4</v>
      </c>
      <c r="H1000">
        <v>85.1</v>
      </c>
      <c r="I1000">
        <v>0.64</v>
      </c>
      <c r="J1000" t="s">
        <v>18</v>
      </c>
      <c r="K1000">
        <v>17</v>
      </c>
      <c r="L1000">
        <v>74</v>
      </c>
      <c r="M1000">
        <v>0.66</v>
      </c>
      <c r="N1000">
        <v>16</v>
      </c>
      <c r="O1000">
        <v>0.55000000000000004</v>
      </c>
      <c r="P1000" t="s">
        <v>19</v>
      </c>
    </row>
    <row r="1001" spans="1:16" x14ac:dyDescent="0.35">
      <c r="A1001" t="s">
        <v>1027</v>
      </c>
      <c r="B1001">
        <v>1000</v>
      </c>
      <c r="C1001">
        <v>20</v>
      </c>
      <c r="D1001" t="s">
        <v>21</v>
      </c>
      <c r="E1001" t="s">
        <v>17</v>
      </c>
      <c r="F1001">
        <v>2.38</v>
      </c>
      <c r="G1001">
        <v>5</v>
      </c>
      <c r="H1001">
        <v>74.3</v>
      </c>
      <c r="I1001">
        <v>0.72</v>
      </c>
      <c r="J1001" t="s">
        <v>18</v>
      </c>
      <c r="K1001">
        <v>7</v>
      </c>
      <c r="L1001">
        <v>88</v>
      </c>
      <c r="M1001">
        <v>0.88</v>
      </c>
      <c r="N1001">
        <v>4</v>
      </c>
      <c r="O1001">
        <v>0.62</v>
      </c>
      <c r="P1001" t="s">
        <v>19</v>
      </c>
    </row>
    <row r="1002" spans="1:16" x14ac:dyDescent="0.35">
      <c r="A1002" t="s">
        <v>1028</v>
      </c>
      <c r="B1002">
        <v>1001</v>
      </c>
      <c r="C1002">
        <v>23</v>
      </c>
      <c r="D1002" t="s">
        <v>16</v>
      </c>
      <c r="E1002" t="s">
        <v>17</v>
      </c>
      <c r="F1002">
        <v>2.69</v>
      </c>
      <c r="G1002">
        <v>3</v>
      </c>
      <c r="H1002">
        <v>99.8</v>
      </c>
      <c r="I1002">
        <v>0.87</v>
      </c>
      <c r="J1002" t="s">
        <v>18</v>
      </c>
      <c r="K1002">
        <v>31</v>
      </c>
      <c r="L1002">
        <v>41</v>
      </c>
      <c r="M1002">
        <v>0.73</v>
      </c>
      <c r="N1002">
        <v>0</v>
      </c>
      <c r="O1002">
        <v>0.7</v>
      </c>
      <c r="P1002" t="s">
        <v>24</v>
      </c>
    </row>
    <row r="1003" spans="1:16" x14ac:dyDescent="0.35">
      <c r="A1003" t="s">
        <v>1029</v>
      </c>
      <c r="B1003">
        <v>1002</v>
      </c>
      <c r="C1003">
        <v>24</v>
      </c>
      <c r="D1003" t="s">
        <v>16</v>
      </c>
      <c r="E1003" t="s">
        <v>17</v>
      </c>
      <c r="F1003">
        <v>3.09</v>
      </c>
      <c r="G1003">
        <v>3</v>
      </c>
      <c r="H1003">
        <v>79.2</v>
      </c>
      <c r="I1003">
        <v>0.87</v>
      </c>
      <c r="J1003" t="s">
        <v>23</v>
      </c>
      <c r="K1003">
        <v>26</v>
      </c>
      <c r="L1003">
        <v>17</v>
      </c>
      <c r="M1003">
        <v>0.61</v>
      </c>
      <c r="N1003">
        <v>16</v>
      </c>
      <c r="O1003">
        <v>0.93</v>
      </c>
      <c r="P1003" t="s">
        <v>41</v>
      </c>
    </row>
    <row r="1004" spans="1:16" x14ac:dyDescent="0.35">
      <c r="A1004" t="s">
        <v>1030</v>
      </c>
      <c r="B1004">
        <v>1003</v>
      </c>
      <c r="C1004">
        <v>18</v>
      </c>
      <c r="D1004" t="s">
        <v>16</v>
      </c>
      <c r="E1004" t="s">
        <v>46</v>
      </c>
      <c r="F1004">
        <v>3.98</v>
      </c>
      <c r="G1004">
        <v>6</v>
      </c>
      <c r="H1004">
        <v>79.400000000000006</v>
      </c>
      <c r="I1004">
        <v>0.71</v>
      </c>
      <c r="J1004" t="s">
        <v>18</v>
      </c>
      <c r="K1004">
        <v>36</v>
      </c>
      <c r="L1004">
        <v>27</v>
      </c>
      <c r="M1004">
        <v>0.6</v>
      </c>
      <c r="N1004">
        <v>9</v>
      </c>
      <c r="O1004">
        <v>0.97</v>
      </c>
      <c r="P1004" t="s">
        <v>19</v>
      </c>
    </row>
    <row r="1005" spans="1:16" x14ac:dyDescent="0.35">
      <c r="A1005" t="s">
        <v>1031</v>
      </c>
      <c r="B1005">
        <v>1004</v>
      </c>
      <c r="C1005">
        <v>18</v>
      </c>
      <c r="D1005" t="s">
        <v>16</v>
      </c>
      <c r="E1005" t="s">
        <v>17</v>
      </c>
      <c r="F1005">
        <v>3.33</v>
      </c>
      <c r="G1005">
        <v>5</v>
      </c>
      <c r="H1005">
        <v>82.6</v>
      </c>
      <c r="I1005">
        <v>0.78</v>
      </c>
      <c r="J1005" t="s">
        <v>28</v>
      </c>
      <c r="K1005">
        <v>22</v>
      </c>
      <c r="L1005">
        <v>54</v>
      </c>
      <c r="M1005">
        <v>0.93</v>
      </c>
      <c r="N1005">
        <v>11</v>
      </c>
      <c r="O1005">
        <v>1</v>
      </c>
      <c r="P1005" t="s">
        <v>24</v>
      </c>
    </row>
    <row r="1006" spans="1:16" x14ac:dyDescent="0.35">
      <c r="A1006" t="s">
        <v>1032</v>
      </c>
      <c r="B1006">
        <v>1005</v>
      </c>
      <c r="C1006">
        <v>18</v>
      </c>
      <c r="D1006" t="s">
        <v>32</v>
      </c>
      <c r="E1006" t="s">
        <v>46</v>
      </c>
      <c r="F1006">
        <v>2.4</v>
      </c>
      <c r="G1006">
        <v>4</v>
      </c>
      <c r="H1006">
        <v>96.7</v>
      </c>
      <c r="I1006">
        <v>0.68</v>
      </c>
      <c r="J1006" t="s">
        <v>28</v>
      </c>
      <c r="K1006">
        <v>6</v>
      </c>
      <c r="L1006">
        <v>42</v>
      </c>
      <c r="M1006">
        <v>0.84</v>
      </c>
      <c r="N1006">
        <v>19</v>
      </c>
      <c r="O1006">
        <v>0.98</v>
      </c>
      <c r="P1006" t="s">
        <v>19</v>
      </c>
    </row>
    <row r="1007" spans="1:16" x14ac:dyDescent="0.35">
      <c r="A1007" t="s">
        <v>1033</v>
      </c>
      <c r="B1007">
        <v>1006</v>
      </c>
      <c r="C1007">
        <v>22</v>
      </c>
      <c r="D1007" t="s">
        <v>16</v>
      </c>
      <c r="E1007" t="s">
        <v>17</v>
      </c>
      <c r="F1007">
        <v>2.09</v>
      </c>
      <c r="G1007">
        <v>6</v>
      </c>
      <c r="H1007">
        <v>92</v>
      </c>
      <c r="I1007">
        <v>0.68</v>
      </c>
      <c r="J1007" t="s">
        <v>28</v>
      </c>
      <c r="K1007">
        <v>11</v>
      </c>
      <c r="L1007">
        <v>14</v>
      </c>
      <c r="M1007">
        <v>0.77</v>
      </c>
      <c r="N1007">
        <v>1</v>
      </c>
      <c r="O1007">
        <v>0.5</v>
      </c>
      <c r="P1007" t="s">
        <v>19</v>
      </c>
    </row>
    <row r="1008" spans="1:16" x14ac:dyDescent="0.35">
      <c r="A1008" t="s">
        <v>1034</v>
      </c>
      <c r="B1008">
        <v>1007</v>
      </c>
      <c r="C1008">
        <v>21</v>
      </c>
      <c r="D1008" t="s">
        <v>32</v>
      </c>
      <c r="E1008" t="s">
        <v>46</v>
      </c>
      <c r="F1008">
        <v>2.25</v>
      </c>
      <c r="G1008">
        <v>5</v>
      </c>
      <c r="H1008">
        <v>78</v>
      </c>
      <c r="I1008">
        <v>0.61</v>
      </c>
      <c r="J1008" t="s">
        <v>28</v>
      </c>
      <c r="K1008">
        <v>24</v>
      </c>
      <c r="L1008">
        <v>83</v>
      </c>
      <c r="M1008">
        <v>0.7</v>
      </c>
      <c r="N1008">
        <v>15</v>
      </c>
      <c r="O1008">
        <v>0.52</v>
      </c>
      <c r="P1008" t="s">
        <v>19</v>
      </c>
    </row>
    <row r="1009" spans="1:16" x14ac:dyDescent="0.35">
      <c r="A1009" t="s">
        <v>1035</v>
      </c>
      <c r="B1009">
        <v>1008</v>
      </c>
      <c r="C1009">
        <v>22</v>
      </c>
      <c r="D1009" t="s">
        <v>16</v>
      </c>
      <c r="E1009" t="s">
        <v>22</v>
      </c>
      <c r="F1009">
        <v>3.13</v>
      </c>
      <c r="G1009">
        <v>6</v>
      </c>
      <c r="H1009">
        <v>88.7</v>
      </c>
      <c r="I1009">
        <v>0.96</v>
      </c>
      <c r="J1009" t="s">
        <v>28</v>
      </c>
      <c r="K1009">
        <v>2</v>
      </c>
      <c r="L1009">
        <v>45</v>
      </c>
      <c r="M1009">
        <v>0.72</v>
      </c>
      <c r="N1009">
        <v>14</v>
      </c>
      <c r="O1009">
        <v>0.56999999999999995</v>
      </c>
      <c r="P1009" t="s">
        <v>41</v>
      </c>
    </row>
    <row r="1010" spans="1:16" x14ac:dyDescent="0.35">
      <c r="A1010" t="s">
        <v>1036</v>
      </c>
      <c r="B1010">
        <v>1009</v>
      </c>
      <c r="C1010">
        <v>21</v>
      </c>
      <c r="D1010" t="s">
        <v>32</v>
      </c>
      <c r="E1010" t="s">
        <v>30</v>
      </c>
      <c r="F1010">
        <v>3.53</v>
      </c>
      <c r="G1010">
        <v>4</v>
      </c>
      <c r="H1010">
        <v>83.4</v>
      </c>
      <c r="I1010">
        <v>0.68</v>
      </c>
      <c r="J1010" t="s">
        <v>28</v>
      </c>
      <c r="K1010">
        <v>25</v>
      </c>
      <c r="L1010">
        <v>32</v>
      </c>
      <c r="M1010">
        <v>0.53</v>
      </c>
      <c r="N1010">
        <v>12</v>
      </c>
      <c r="O1010">
        <v>0.67</v>
      </c>
      <c r="P1010" t="s">
        <v>19</v>
      </c>
    </row>
    <row r="1011" spans="1:16" x14ac:dyDescent="0.35">
      <c r="A1011" t="s">
        <v>1037</v>
      </c>
      <c r="B1011">
        <v>1010</v>
      </c>
      <c r="C1011">
        <v>25</v>
      </c>
      <c r="D1011" t="s">
        <v>21</v>
      </c>
      <c r="E1011" t="s">
        <v>22</v>
      </c>
      <c r="F1011">
        <v>3.88</v>
      </c>
      <c r="G1011">
        <v>6</v>
      </c>
      <c r="H1011">
        <v>79.7</v>
      </c>
      <c r="I1011">
        <v>0.69</v>
      </c>
      <c r="J1011" t="s">
        <v>23</v>
      </c>
      <c r="K1011">
        <v>3</v>
      </c>
      <c r="L1011">
        <v>49</v>
      </c>
      <c r="M1011">
        <v>0.73</v>
      </c>
      <c r="N1011">
        <v>17</v>
      </c>
      <c r="O1011">
        <v>0.91</v>
      </c>
      <c r="P1011" t="s">
        <v>19</v>
      </c>
    </row>
    <row r="1012" spans="1:16" x14ac:dyDescent="0.35">
      <c r="A1012" t="s">
        <v>1038</v>
      </c>
      <c r="B1012">
        <v>1011</v>
      </c>
      <c r="C1012">
        <v>22</v>
      </c>
      <c r="D1012" t="s">
        <v>32</v>
      </c>
      <c r="E1012" t="s">
        <v>22</v>
      </c>
      <c r="F1012">
        <v>2.0299999999999998</v>
      </c>
      <c r="G1012">
        <v>6</v>
      </c>
      <c r="H1012">
        <v>67.7</v>
      </c>
      <c r="I1012">
        <v>0.71</v>
      </c>
      <c r="J1012" t="s">
        <v>28</v>
      </c>
      <c r="K1012">
        <v>35</v>
      </c>
      <c r="L1012">
        <v>14</v>
      </c>
      <c r="M1012">
        <v>0.9</v>
      </c>
      <c r="N1012">
        <v>19</v>
      </c>
      <c r="O1012">
        <v>0.95</v>
      </c>
      <c r="P1012" t="s">
        <v>19</v>
      </c>
    </row>
    <row r="1013" spans="1:16" x14ac:dyDescent="0.35">
      <c r="A1013" t="s">
        <v>1039</v>
      </c>
      <c r="B1013">
        <v>1012</v>
      </c>
      <c r="C1013">
        <v>22</v>
      </c>
      <c r="D1013" t="s">
        <v>32</v>
      </c>
      <c r="E1013" t="s">
        <v>17</v>
      </c>
      <c r="F1013">
        <v>3.05</v>
      </c>
      <c r="G1013">
        <v>6</v>
      </c>
      <c r="H1013">
        <v>78.599999999999994</v>
      </c>
      <c r="I1013">
        <v>0.65</v>
      </c>
      <c r="J1013" t="s">
        <v>18</v>
      </c>
      <c r="K1013">
        <v>14</v>
      </c>
      <c r="L1013">
        <v>43</v>
      </c>
      <c r="M1013">
        <v>0.69</v>
      </c>
      <c r="N1013">
        <v>13</v>
      </c>
      <c r="O1013">
        <v>0.59</v>
      </c>
      <c r="P1013" t="s">
        <v>19</v>
      </c>
    </row>
    <row r="1014" spans="1:16" x14ac:dyDescent="0.35">
      <c r="A1014" t="s">
        <v>1040</v>
      </c>
      <c r="B1014">
        <v>1013</v>
      </c>
      <c r="C1014">
        <v>23</v>
      </c>
      <c r="D1014" t="s">
        <v>16</v>
      </c>
      <c r="E1014" t="s">
        <v>46</v>
      </c>
      <c r="F1014">
        <v>2.94</v>
      </c>
      <c r="G1014">
        <v>5</v>
      </c>
      <c r="H1014">
        <v>69.8</v>
      </c>
      <c r="I1014">
        <v>0.86</v>
      </c>
      <c r="J1014" t="s">
        <v>28</v>
      </c>
      <c r="K1014">
        <v>31</v>
      </c>
      <c r="L1014">
        <v>33</v>
      </c>
      <c r="M1014">
        <v>0.69</v>
      </c>
      <c r="N1014">
        <v>17</v>
      </c>
      <c r="O1014">
        <v>0.81</v>
      </c>
      <c r="P1014" t="s">
        <v>24</v>
      </c>
    </row>
    <row r="1015" spans="1:16" x14ac:dyDescent="0.35">
      <c r="A1015" t="s">
        <v>1041</v>
      </c>
      <c r="B1015">
        <v>1014</v>
      </c>
      <c r="C1015">
        <v>20</v>
      </c>
      <c r="D1015" t="s">
        <v>32</v>
      </c>
      <c r="E1015" t="s">
        <v>30</v>
      </c>
      <c r="F1015">
        <v>3.31</v>
      </c>
      <c r="G1015">
        <v>4</v>
      </c>
      <c r="H1015">
        <v>96.6</v>
      </c>
      <c r="I1015">
        <v>0.63</v>
      </c>
      <c r="J1015" t="s">
        <v>23</v>
      </c>
      <c r="K1015">
        <v>28</v>
      </c>
      <c r="L1015">
        <v>26</v>
      </c>
      <c r="M1015">
        <v>0.51</v>
      </c>
      <c r="N1015">
        <v>1</v>
      </c>
      <c r="O1015">
        <v>0.96</v>
      </c>
      <c r="P1015" t="s">
        <v>19</v>
      </c>
    </row>
    <row r="1016" spans="1:16" x14ac:dyDescent="0.35">
      <c r="A1016" t="s">
        <v>1042</v>
      </c>
      <c r="B1016">
        <v>1015</v>
      </c>
      <c r="C1016">
        <v>22</v>
      </c>
      <c r="D1016" t="s">
        <v>21</v>
      </c>
      <c r="E1016" t="s">
        <v>17</v>
      </c>
      <c r="F1016">
        <v>3.12</v>
      </c>
      <c r="G1016">
        <v>3</v>
      </c>
      <c r="H1016">
        <v>73.400000000000006</v>
      </c>
      <c r="I1016">
        <v>0.65</v>
      </c>
      <c r="J1016" t="s">
        <v>28</v>
      </c>
      <c r="K1016">
        <v>9</v>
      </c>
      <c r="L1016">
        <v>80</v>
      </c>
      <c r="M1016">
        <v>0.73</v>
      </c>
      <c r="N1016">
        <v>1</v>
      </c>
      <c r="O1016">
        <v>0.73</v>
      </c>
      <c r="P1016" t="s">
        <v>19</v>
      </c>
    </row>
    <row r="1017" spans="1:16" x14ac:dyDescent="0.35">
      <c r="A1017" t="s">
        <v>1043</v>
      </c>
      <c r="B1017">
        <v>1016</v>
      </c>
      <c r="C1017">
        <v>23</v>
      </c>
      <c r="D1017" t="s">
        <v>21</v>
      </c>
      <c r="E1017" t="s">
        <v>17</v>
      </c>
      <c r="F1017">
        <v>3.37</v>
      </c>
      <c r="G1017">
        <v>5</v>
      </c>
      <c r="H1017">
        <v>98.1</v>
      </c>
      <c r="I1017">
        <v>0.86</v>
      </c>
      <c r="J1017" t="s">
        <v>18</v>
      </c>
      <c r="K1017">
        <v>20</v>
      </c>
      <c r="L1017">
        <v>31</v>
      </c>
      <c r="M1017">
        <v>0.51</v>
      </c>
      <c r="N1017">
        <v>2</v>
      </c>
      <c r="O1017">
        <v>0.55000000000000004</v>
      </c>
      <c r="P1017" t="s">
        <v>41</v>
      </c>
    </row>
    <row r="1018" spans="1:16" x14ac:dyDescent="0.35">
      <c r="A1018" t="s">
        <v>1044</v>
      </c>
      <c r="B1018">
        <v>1017</v>
      </c>
      <c r="C1018">
        <v>19</v>
      </c>
      <c r="D1018" t="s">
        <v>16</v>
      </c>
      <c r="E1018" t="s">
        <v>17</v>
      </c>
      <c r="F1018">
        <v>3.32</v>
      </c>
      <c r="G1018">
        <v>3</v>
      </c>
      <c r="H1018">
        <v>81.3</v>
      </c>
      <c r="I1018">
        <v>0.74</v>
      </c>
      <c r="J1018" t="s">
        <v>18</v>
      </c>
      <c r="K1018">
        <v>15</v>
      </c>
      <c r="L1018">
        <v>24</v>
      </c>
      <c r="M1018">
        <v>0.79</v>
      </c>
      <c r="N1018">
        <v>4</v>
      </c>
      <c r="O1018">
        <v>0.73</v>
      </c>
      <c r="P1018" t="s">
        <v>19</v>
      </c>
    </row>
    <row r="1019" spans="1:16" x14ac:dyDescent="0.35">
      <c r="A1019" t="s">
        <v>1045</v>
      </c>
      <c r="B1019">
        <v>1018</v>
      </c>
      <c r="C1019">
        <v>20</v>
      </c>
      <c r="D1019" t="s">
        <v>21</v>
      </c>
      <c r="E1019" t="s">
        <v>22</v>
      </c>
      <c r="F1019">
        <v>2.23</v>
      </c>
      <c r="G1019">
        <v>3</v>
      </c>
      <c r="H1019">
        <v>85.3</v>
      </c>
      <c r="I1019">
        <v>0.88</v>
      </c>
      <c r="J1019" t="s">
        <v>23</v>
      </c>
      <c r="K1019">
        <v>18</v>
      </c>
      <c r="L1019">
        <v>24</v>
      </c>
      <c r="M1019">
        <v>0.75</v>
      </c>
      <c r="N1019">
        <v>15</v>
      </c>
      <c r="O1019">
        <v>0.69</v>
      </c>
      <c r="P1019" t="s">
        <v>19</v>
      </c>
    </row>
    <row r="1020" spans="1:16" x14ac:dyDescent="0.35">
      <c r="A1020" t="s">
        <v>1046</v>
      </c>
      <c r="B1020">
        <v>1019</v>
      </c>
      <c r="C1020">
        <v>25</v>
      </c>
      <c r="D1020" t="s">
        <v>32</v>
      </c>
      <c r="E1020" t="s">
        <v>46</v>
      </c>
      <c r="F1020">
        <v>3.6</v>
      </c>
      <c r="G1020">
        <v>5</v>
      </c>
      <c r="H1020">
        <v>81.7</v>
      </c>
      <c r="I1020">
        <v>0.82</v>
      </c>
      <c r="J1020" t="s">
        <v>23</v>
      </c>
      <c r="K1020">
        <v>28</v>
      </c>
      <c r="L1020">
        <v>34</v>
      </c>
      <c r="M1020">
        <v>0.92</v>
      </c>
      <c r="N1020">
        <v>14</v>
      </c>
      <c r="O1020">
        <v>0.79</v>
      </c>
      <c r="P1020" t="s">
        <v>24</v>
      </c>
    </row>
    <row r="1021" spans="1:16" x14ac:dyDescent="0.35">
      <c r="A1021" t="s">
        <v>1047</v>
      </c>
      <c r="B1021">
        <v>1020</v>
      </c>
      <c r="C1021">
        <v>22</v>
      </c>
      <c r="D1021" t="s">
        <v>21</v>
      </c>
      <c r="E1021" t="s">
        <v>46</v>
      </c>
      <c r="F1021">
        <v>2.25</v>
      </c>
      <c r="G1021">
        <v>5</v>
      </c>
      <c r="H1021">
        <v>65.2</v>
      </c>
      <c r="I1021">
        <v>0.7</v>
      </c>
      <c r="J1021" t="s">
        <v>23</v>
      </c>
      <c r="K1021">
        <v>17</v>
      </c>
      <c r="L1021">
        <v>62</v>
      </c>
      <c r="M1021">
        <v>0.79</v>
      </c>
      <c r="N1021">
        <v>11</v>
      </c>
      <c r="O1021">
        <v>0.72</v>
      </c>
      <c r="P1021" t="s">
        <v>19</v>
      </c>
    </row>
    <row r="1022" spans="1:16" x14ac:dyDescent="0.35">
      <c r="A1022" t="s">
        <v>1048</v>
      </c>
      <c r="B1022">
        <v>1021</v>
      </c>
      <c r="C1022">
        <v>24</v>
      </c>
      <c r="D1022" t="s">
        <v>16</v>
      </c>
      <c r="E1022" t="s">
        <v>30</v>
      </c>
      <c r="F1022">
        <v>3.4</v>
      </c>
      <c r="G1022">
        <v>4</v>
      </c>
      <c r="H1022">
        <v>75</v>
      </c>
      <c r="I1022">
        <v>0.86</v>
      </c>
      <c r="J1022" t="s">
        <v>23</v>
      </c>
      <c r="K1022">
        <v>15</v>
      </c>
      <c r="L1022">
        <v>30</v>
      </c>
      <c r="M1022">
        <v>0.66</v>
      </c>
      <c r="N1022">
        <v>8</v>
      </c>
      <c r="O1022">
        <v>0.51</v>
      </c>
      <c r="P1022" t="s">
        <v>41</v>
      </c>
    </row>
    <row r="1023" spans="1:16" x14ac:dyDescent="0.35">
      <c r="A1023" t="s">
        <v>1049</v>
      </c>
      <c r="B1023">
        <v>1022</v>
      </c>
      <c r="C1023">
        <v>18</v>
      </c>
      <c r="D1023" t="s">
        <v>32</v>
      </c>
      <c r="E1023" t="s">
        <v>46</v>
      </c>
      <c r="F1023">
        <v>2.83</v>
      </c>
      <c r="G1023">
        <v>4</v>
      </c>
      <c r="H1023">
        <v>64</v>
      </c>
      <c r="I1023">
        <v>0.65</v>
      </c>
      <c r="J1023" t="s">
        <v>28</v>
      </c>
      <c r="K1023">
        <v>0</v>
      </c>
      <c r="L1023">
        <v>75</v>
      </c>
      <c r="M1023">
        <v>0.76</v>
      </c>
      <c r="N1023">
        <v>13</v>
      </c>
      <c r="O1023">
        <v>1</v>
      </c>
      <c r="P1023" t="s">
        <v>19</v>
      </c>
    </row>
    <row r="1024" spans="1:16" x14ac:dyDescent="0.35">
      <c r="A1024" t="s">
        <v>1050</v>
      </c>
      <c r="B1024">
        <v>1023</v>
      </c>
      <c r="C1024">
        <v>19</v>
      </c>
      <c r="D1024" t="s">
        <v>16</v>
      </c>
      <c r="E1024" t="s">
        <v>46</v>
      </c>
      <c r="F1024">
        <v>3.03</v>
      </c>
      <c r="G1024">
        <v>6</v>
      </c>
      <c r="H1024">
        <v>84.9</v>
      </c>
      <c r="I1024">
        <v>0.81</v>
      </c>
      <c r="J1024" t="s">
        <v>28</v>
      </c>
      <c r="K1024">
        <v>1</v>
      </c>
      <c r="L1024">
        <v>41</v>
      </c>
      <c r="M1024">
        <v>0.85</v>
      </c>
      <c r="N1024">
        <v>15</v>
      </c>
      <c r="O1024">
        <v>0.77</v>
      </c>
      <c r="P1024" t="s">
        <v>24</v>
      </c>
    </row>
    <row r="1025" spans="1:16" x14ac:dyDescent="0.35">
      <c r="A1025" t="s">
        <v>1051</v>
      </c>
      <c r="B1025">
        <v>1024</v>
      </c>
      <c r="C1025">
        <v>19</v>
      </c>
      <c r="D1025" t="s">
        <v>32</v>
      </c>
      <c r="E1025" t="s">
        <v>17</v>
      </c>
      <c r="F1025">
        <v>3.81</v>
      </c>
      <c r="G1025">
        <v>3</v>
      </c>
      <c r="H1025">
        <v>77.900000000000006</v>
      </c>
      <c r="I1025">
        <v>0.77</v>
      </c>
      <c r="J1025" t="s">
        <v>18</v>
      </c>
      <c r="K1025">
        <v>14</v>
      </c>
      <c r="L1025">
        <v>30</v>
      </c>
      <c r="M1025">
        <v>0.55000000000000004</v>
      </c>
      <c r="N1025">
        <v>10</v>
      </c>
      <c r="O1025">
        <v>0.74</v>
      </c>
      <c r="P1025" t="s">
        <v>24</v>
      </c>
    </row>
    <row r="1026" spans="1:16" x14ac:dyDescent="0.35">
      <c r="A1026" t="s">
        <v>1052</v>
      </c>
      <c r="B1026">
        <v>1025</v>
      </c>
      <c r="C1026">
        <v>25</v>
      </c>
      <c r="D1026" t="s">
        <v>21</v>
      </c>
      <c r="E1026" t="s">
        <v>17</v>
      </c>
      <c r="F1026">
        <v>3.78</v>
      </c>
      <c r="G1026">
        <v>4</v>
      </c>
      <c r="H1026">
        <v>91.1</v>
      </c>
      <c r="I1026">
        <v>0.71</v>
      </c>
      <c r="J1026" t="s">
        <v>23</v>
      </c>
      <c r="K1026">
        <v>38</v>
      </c>
      <c r="L1026">
        <v>77</v>
      </c>
      <c r="M1026">
        <v>0.81</v>
      </c>
      <c r="N1026">
        <v>5</v>
      </c>
      <c r="O1026">
        <v>0.98</v>
      </c>
      <c r="P1026" t="s">
        <v>19</v>
      </c>
    </row>
    <row r="1027" spans="1:16" x14ac:dyDescent="0.35">
      <c r="A1027" t="s">
        <v>1053</v>
      </c>
      <c r="B1027">
        <v>1026</v>
      </c>
      <c r="C1027">
        <v>23</v>
      </c>
      <c r="D1027" t="s">
        <v>16</v>
      </c>
      <c r="E1027" t="s">
        <v>22</v>
      </c>
      <c r="F1027">
        <v>3.64</v>
      </c>
      <c r="G1027">
        <v>6</v>
      </c>
      <c r="H1027">
        <v>68.8</v>
      </c>
      <c r="I1027">
        <v>0.84</v>
      </c>
      <c r="J1027" t="s">
        <v>23</v>
      </c>
      <c r="K1027">
        <v>27</v>
      </c>
      <c r="L1027">
        <v>53</v>
      </c>
      <c r="M1027">
        <v>0.96</v>
      </c>
      <c r="N1027">
        <v>9</v>
      </c>
      <c r="O1027">
        <v>0.57999999999999996</v>
      </c>
      <c r="P1027" t="s">
        <v>24</v>
      </c>
    </row>
    <row r="1028" spans="1:16" x14ac:dyDescent="0.35">
      <c r="A1028" t="s">
        <v>1054</v>
      </c>
      <c r="B1028">
        <v>1027</v>
      </c>
      <c r="C1028">
        <v>19</v>
      </c>
      <c r="D1028" t="s">
        <v>16</v>
      </c>
      <c r="E1028" t="s">
        <v>17</v>
      </c>
      <c r="F1028">
        <v>3.02</v>
      </c>
      <c r="G1028">
        <v>4</v>
      </c>
      <c r="H1028">
        <v>66.599999999999994</v>
      </c>
      <c r="I1028">
        <v>0.95</v>
      </c>
      <c r="J1028" t="s">
        <v>28</v>
      </c>
      <c r="K1028">
        <v>0</v>
      </c>
      <c r="L1028">
        <v>75</v>
      </c>
      <c r="M1028">
        <v>0.65</v>
      </c>
      <c r="N1028">
        <v>7</v>
      </c>
      <c r="O1028">
        <v>0.59</v>
      </c>
      <c r="P1028" t="s">
        <v>41</v>
      </c>
    </row>
    <row r="1029" spans="1:16" x14ac:dyDescent="0.35">
      <c r="A1029" t="s">
        <v>1055</v>
      </c>
      <c r="B1029">
        <v>1028</v>
      </c>
      <c r="C1029">
        <v>20</v>
      </c>
      <c r="D1029" t="s">
        <v>32</v>
      </c>
      <c r="E1029" t="s">
        <v>17</v>
      </c>
      <c r="F1029">
        <v>3.47</v>
      </c>
      <c r="G1029">
        <v>5</v>
      </c>
      <c r="H1029">
        <v>76.3</v>
      </c>
      <c r="I1029">
        <v>1</v>
      </c>
      <c r="J1029" t="s">
        <v>23</v>
      </c>
      <c r="K1029">
        <v>4</v>
      </c>
      <c r="L1029">
        <v>23</v>
      </c>
      <c r="M1029">
        <v>0.81</v>
      </c>
      <c r="N1029">
        <v>15</v>
      </c>
      <c r="O1029">
        <v>0.9</v>
      </c>
      <c r="P1029" t="s">
        <v>41</v>
      </c>
    </row>
    <row r="1030" spans="1:16" x14ac:dyDescent="0.35">
      <c r="A1030" t="s">
        <v>1056</v>
      </c>
      <c r="B1030">
        <v>1029</v>
      </c>
      <c r="C1030">
        <v>22</v>
      </c>
      <c r="D1030" t="s">
        <v>16</v>
      </c>
      <c r="E1030" t="s">
        <v>17</v>
      </c>
      <c r="F1030">
        <v>3.03</v>
      </c>
      <c r="G1030">
        <v>4</v>
      </c>
      <c r="H1030">
        <v>97.1</v>
      </c>
      <c r="I1030">
        <v>0.84</v>
      </c>
      <c r="J1030" t="s">
        <v>18</v>
      </c>
      <c r="K1030">
        <v>21</v>
      </c>
      <c r="L1030">
        <v>24</v>
      </c>
      <c r="M1030">
        <v>0.91</v>
      </c>
      <c r="N1030">
        <v>2</v>
      </c>
      <c r="O1030">
        <v>0.63</v>
      </c>
      <c r="P1030" t="s">
        <v>24</v>
      </c>
    </row>
    <row r="1031" spans="1:16" x14ac:dyDescent="0.35">
      <c r="A1031" t="s">
        <v>1057</v>
      </c>
      <c r="B1031">
        <v>1030</v>
      </c>
      <c r="C1031">
        <v>22</v>
      </c>
      <c r="D1031" t="s">
        <v>32</v>
      </c>
      <c r="E1031" t="s">
        <v>17</v>
      </c>
      <c r="F1031">
        <v>3.74</v>
      </c>
      <c r="G1031">
        <v>3</v>
      </c>
      <c r="H1031">
        <v>88.4</v>
      </c>
      <c r="I1031">
        <v>0.76</v>
      </c>
      <c r="J1031" t="s">
        <v>18</v>
      </c>
      <c r="K1031">
        <v>35</v>
      </c>
      <c r="L1031">
        <v>29</v>
      </c>
      <c r="M1031">
        <v>0.76</v>
      </c>
      <c r="N1031">
        <v>1</v>
      </c>
      <c r="O1031">
        <v>0.9</v>
      </c>
      <c r="P1031" t="s">
        <v>24</v>
      </c>
    </row>
    <row r="1032" spans="1:16" x14ac:dyDescent="0.35">
      <c r="A1032" t="s">
        <v>1058</v>
      </c>
      <c r="B1032">
        <v>1031</v>
      </c>
      <c r="C1032">
        <v>24</v>
      </c>
      <c r="D1032" t="s">
        <v>32</v>
      </c>
      <c r="E1032" t="s">
        <v>22</v>
      </c>
      <c r="F1032">
        <v>2.81</v>
      </c>
      <c r="G1032">
        <v>4</v>
      </c>
      <c r="H1032">
        <v>76.8</v>
      </c>
      <c r="I1032">
        <v>0.69</v>
      </c>
      <c r="J1032" t="s">
        <v>23</v>
      </c>
      <c r="K1032">
        <v>12</v>
      </c>
      <c r="L1032">
        <v>43</v>
      </c>
      <c r="M1032">
        <v>0.86</v>
      </c>
      <c r="N1032">
        <v>15</v>
      </c>
      <c r="O1032">
        <v>0.64</v>
      </c>
      <c r="P1032" t="s">
        <v>19</v>
      </c>
    </row>
    <row r="1033" spans="1:16" x14ac:dyDescent="0.35">
      <c r="A1033" t="s">
        <v>1059</v>
      </c>
      <c r="B1033">
        <v>1032</v>
      </c>
      <c r="C1033">
        <v>25</v>
      </c>
      <c r="D1033" t="s">
        <v>32</v>
      </c>
      <c r="E1033" t="s">
        <v>17</v>
      </c>
      <c r="F1033">
        <v>3.94</v>
      </c>
      <c r="G1033">
        <v>3</v>
      </c>
      <c r="H1033">
        <v>80.7</v>
      </c>
      <c r="I1033">
        <v>0.7</v>
      </c>
      <c r="J1033" t="s">
        <v>18</v>
      </c>
      <c r="K1033">
        <v>0</v>
      </c>
      <c r="L1033">
        <v>45</v>
      </c>
      <c r="M1033">
        <v>0.66</v>
      </c>
      <c r="N1033">
        <v>18</v>
      </c>
      <c r="O1033">
        <v>0.52</v>
      </c>
      <c r="P1033" t="s">
        <v>19</v>
      </c>
    </row>
    <row r="1034" spans="1:16" x14ac:dyDescent="0.35">
      <c r="A1034" t="s">
        <v>1060</v>
      </c>
      <c r="B1034">
        <v>1033</v>
      </c>
      <c r="C1034">
        <v>18</v>
      </c>
      <c r="D1034" t="s">
        <v>32</v>
      </c>
      <c r="E1034" t="s">
        <v>30</v>
      </c>
      <c r="F1034">
        <v>3.86</v>
      </c>
      <c r="G1034">
        <v>5</v>
      </c>
      <c r="H1034">
        <v>63.4</v>
      </c>
      <c r="I1034">
        <v>0.79</v>
      </c>
      <c r="J1034" t="s">
        <v>18</v>
      </c>
      <c r="K1034">
        <v>15</v>
      </c>
      <c r="L1034">
        <v>18</v>
      </c>
      <c r="M1034">
        <v>0.65</v>
      </c>
      <c r="N1034">
        <v>8</v>
      </c>
      <c r="O1034">
        <v>0.76</v>
      </c>
      <c r="P1034" t="s">
        <v>24</v>
      </c>
    </row>
    <row r="1035" spans="1:16" x14ac:dyDescent="0.35">
      <c r="A1035" t="s">
        <v>1061</v>
      </c>
      <c r="B1035">
        <v>1034</v>
      </c>
      <c r="C1035">
        <v>23</v>
      </c>
      <c r="D1035" t="s">
        <v>21</v>
      </c>
      <c r="E1035" t="s">
        <v>30</v>
      </c>
      <c r="F1035">
        <v>3.48</v>
      </c>
      <c r="G1035">
        <v>3</v>
      </c>
      <c r="H1035">
        <v>99.4</v>
      </c>
      <c r="I1035">
        <v>0.75</v>
      </c>
      <c r="J1035" t="s">
        <v>28</v>
      </c>
      <c r="K1035">
        <v>21</v>
      </c>
      <c r="L1035">
        <v>80</v>
      </c>
      <c r="M1035">
        <v>0.83</v>
      </c>
      <c r="N1035">
        <v>15</v>
      </c>
      <c r="O1035">
        <v>0.6</v>
      </c>
      <c r="P1035" t="s">
        <v>24</v>
      </c>
    </row>
    <row r="1036" spans="1:16" x14ac:dyDescent="0.35">
      <c r="A1036" t="s">
        <v>1062</v>
      </c>
      <c r="B1036">
        <v>1035</v>
      </c>
      <c r="C1036">
        <v>18</v>
      </c>
      <c r="D1036" t="s">
        <v>32</v>
      </c>
      <c r="E1036" t="s">
        <v>30</v>
      </c>
      <c r="F1036">
        <v>2.56</v>
      </c>
      <c r="G1036">
        <v>4</v>
      </c>
      <c r="H1036">
        <v>86.7</v>
      </c>
      <c r="I1036">
        <v>0.97</v>
      </c>
      <c r="J1036" t="s">
        <v>18</v>
      </c>
      <c r="K1036">
        <v>31</v>
      </c>
      <c r="L1036">
        <v>39</v>
      </c>
      <c r="M1036">
        <v>0.85</v>
      </c>
      <c r="N1036">
        <v>3</v>
      </c>
      <c r="O1036">
        <v>0.88</v>
      </c>
      <c r="P1036" t="s">
        <v>24</v>
      </c>
    </row>
    <row r="1037" spans="1:16" x14ac:dyDescent="0.35">
      <c r="A1037" t="s">
        <v>1063</v>
      </c>
      <c r="B1037">
        <v>1036</v>
      </c>
      <c r="C1037">
        <v>19</v>
      </c>
      <c r="D1037" t="s">
        <v>16</v>
      </c>
      <c r="E1037" t="s">
        <v>30</v>
      </c>
      <c r="F1037">
        <v>2.2599999999999998</v>
      </c>
      <c r="G1037">
        <v>6</v>
      </c>
      <c r="H1037">
        <v>71.400000000000006</v>
      </c>
      <c r="I1037">
        <v>0.75</v>
      </c>
      <c r="J1037" t="s">
        <v>23</v>
      </c>
      <c r="K1037">
        <v>15</v>
      </c>
      <c r="L1037">
        <v>86</v>
      </c>
      <c r="M1037">
        <v>0.97</v>
      </c>
      <c r="N1037">
        <v>9</v>
      </c>
      <c r="O1037">
        <v>0.82</v>
      </c>
      <c r="P1037" t="s">
        <v>19</v>
      </c>
    </row>
    <row r="1038" spans="1:16" x14ac:dyDescent="0.35">
      <c r="A1038" t="s">
        <v>1064</v>
      </c>
      <c r="B1038">
        <v>1037</v>
      </c>
      <c r="C1038">
        <v>25</v>
      </c>
      <c r="D1038" t="s">
        <v>21</v>
      </c>
      <c r="E1038" t="s">
        <v>17</v>
      </c>
      <c r="F1038">
        <v>3.71</v>
      </c>
      <c r="G1038">
        <v>5</v>
      </c>
      <c r="H1038">
        <v>83.4</v>
      </c>
      <c r="I1038">
        <v>0.75</v>
      </c>
      <c r="J1038" t="s">
        <v>23</v>
      </c>
      <c r="K1038">
        <v>14</v>
      </c>
      <c r="L1038">
        <v>72</v>
      </c>
      <c r="M1038">
        <v>0.61</v>
      </c>
      <c r="N1038">
        <v>18</v>
      </c>
      <c r="O1038">
        <v>0.96</v>
      </c>
      <c r="P1038" t="s">
        <v>24</v>
      </c>
    </row>
    <row r="1039" spans="1:16" x14ac:dyDescent="0.35">
      <c r="A1039" t="s">
        <v>1065</v>
      </c>
      <c r="B1039">
        <v>1038</v>
      </c>
      <c r="C1039">
        <v>24</v>
      </c>
      <c r="D1039" t="s">
        <v>16</v>
      </c>
      <c r="E1039" t="s">
        <v>30</v>
      </c>
      <c r="F1039">
        <v>2.33</v>
      </c>
      <c r="G1039">
        <v>4</v>
      </c>
      <c r="H1039">
        <v>64.400000000000006</v>
      </c>
      <c r="I1039">
        <v>0.75</v>
      </c>
      <c r="J1039" t="s">
        <v>18</v>
      </c>
      <c r="K1039">
        <v>11</v>
      </c>
      <c r="L1039">
        <v>44</v>
      </c>
      <c r="M1039">
        <v>0.73</v>
      </c>
      <c r="N1039">
        <v>12</v>
      </c>
      <c r="O1039">
        <v>0.89</v>
      </c>
      <c r="P1039" t="s">
        <v>19</v>
      </c>
    </row>
    <row r="1040" spans="1:16" x14ac:dyDescent="0.35">
      <c r="A1040" t="s">
        <v>1066</v>
      </c>
      <c r="B1040">
        <v>1039</v>
      </c>
      <c r="C1040">
        <v>18</v>
      </c>
      <c r="D1040" t="s">
        <v>21</v>
      </c>
      <c r="E1040" t="s">
        <v>17</v>
      </c>
      <c r="F1040">
        <v>3.71</v>
      </c>
      <c r="G1040">
        <v>5</v>
      </c>
      <c r="H1040">
        <v>98.6</v>
      </c>
      <c r="I1040">
        <v>0.93</v>
      </c>
      <c r="J1040" t="s">
        <v>23</v>
      </c>
      <c r="K1040">
        <v>0</v>
      </c>
      <c r="L1040">
        <v>22</v>
      </c>
      <c r="M1040">
        <v>0.63</v>
      </c>
      <c r="N1040">
        <v>17</v>
      </c>
      <c r="O1040">
        <v>0.59</v>
      </c>
      <c r="P1040" t="s">
        <v>41</v>
      </c>
    </row>
    <row r="1041" spans="1:16" x14ac:dyDescent="0.35">
      <c r="A1041" t="s">
        <v>1067</v>
      </c>
      <c r="B1041">
        <v>1040</v>
      </c>
      <c r="C1041">
        <v>20</v>
      </c>
      <c r="D1041" t="s">
        <v>32</v>
      </c>
      <c r="E1041" t="s">
        <v>22</v>
      </c>
      <c r="F1041">
        <v>2.98</v>
      </c>
      <c r="G1041">
        <v>5</v>
      </c>
      <c r="H1041">
        <v>67</v>
      </c>
      <c r="I1041">
        <v>0.86</v>
      </c>
      <c r="J1041" t="s">
        <v>28</v>
      </c>
      <c r="K1041">
        <v>16</v>
      </c>
      <c r="L1041">
        <v>88</v>
      </c>
      <c r="M1041">
        <v>0.54</v>
      </c>
      <c r="N1041">
        <v>14</v>
      </c>
      <c r="O1041">
        <v>0.9</v>
      </c>
      <c r="P1041" t="s">
        <v>24</v>
      </c>
    </row>
    <row r="1042" spans="1:16" x14ac:dyDescent="0.35">
      <c r="A1042" t="s">
        <v>1068</v>
      </c>
      <c r="B1042">
        <v>1041</v>
      </c>
      <c r="C1042">
        <v>22</v>
      </c>
      <c r="D1042" t="s">
        <v>21</v>
      </c>
      <c r="E1042" t="s">
        <v>30</v>
      </c>
      <c r="F1042">
        <v>2.81</v>
      </c>
      <c r="G1042">
        <v>4</v>
      </c>
      <c r="H1042">
        <v>85.9</v>
      </c>
      <c r="I1042">
        <v>0.85</v>
      </c>
      <c r="J1042" t="s">
        <v>18</v>
      </c>
      <c r="K1042">
        <v>27</v>
      </c>
      <c r="L1042">
        <v>55</v>
      </c>
      <c r="M1042">
        <v>0.7</v>
      </c>
      <c r="N1042">
        <v>3</v>
      </c>
      <c r="O1042">
        <v>0.82</v>
      </c>
      <c r="P1042" t="s">
        <v>24</v>
      </c>
    </row>
    <row r="1043" spans="1:16" x14ac:dyDescent="0.35">
      <c r="A1043" t="s">
        <v>1069</v>
      </c>
      <c r="B1043">
        <v>1042</v>
      </c>
      <c r="C1043">
        <v>19</v>
      </c>
      <c r="D1043" t="s">
        <v>21</v>
      </c>
      <c r="E1043" t="s">
        <v>46</v>
      </c>
      <c r="F1043">
        <v>3.81</v>
      </c>
      <c r="G1043">
        <v>4</v>
      </c>
      <c r="H1043">
        <v>69.8</v>
      </c>
      <c r="I1043">
        <v>0.73</v>
      </c>
      <c r="J1043" t="s">
        <v>18</v>
      </c>
      <c r="K1043">
        <v>6</v>
      </c>
      <c r="L1043">
        <v>65</v>
      </c>
      <c r="M1043">
        <v>0.69</v>
      </c>
      <c r="N1043">
        <v>8</v>
      </c>
      <c r="O1043">
        <v>0.83</v>
      </c>
      <c r="P1043" t="s">
        <v>19</v>
      </c>
    </row>
    <row r="1044" spans="1:16" x14ac:dyDescent="0.35">
      <c r="A1044" t="s">
        <v>1070</v>
      </c>
      <c r="B1044">
        <v>1043</v>
      </c>
      <c r="C1044">
        <v>24</v>
      </c>
      <c r="D1044" t="s">
        <v>16</v>
      </c>
      <c r="E1044" t="s">
        <v>30</v>
      </c>
      <c r="F1044">
        <v>3.21</v>
      </c>
      <c r="G1044">
        <v>6</v>
      </c>
      <c r="H1044">
        <v>88.7</v>
      </c>
      <c r="I1044">
        <v>0.93</v>
      </c>
      <c r="J1044" t="s">
        <v>18</v>
      </c>
      <c r="K1044">
        <v>8</v>
      </c>
      <c r="L1044">
        <v>18</v>
      </c>
      <c r="M1044">
        <v>0.64</v>
      </c>
      <c r="N1044">
        <v>3</v>
      </c>
      <c r="O1044">
        <v>0.92</v>
      </c>
      <c r="P1044" t="s">
        <v>41</v>
      </c>
    </row>
    <row r="1045" spans="1:16" x14ac:dyDescent="0.35">
      <c r="A1045" t="s">
        <v>1071</v>
      </c>
      <c r="B1045">
        <v>1044</v>
      </c>
      <c r="C1045">
        <v>18</v>
      </c>
      <c r="D1045" t="s">
        <v>16</v>
      </c>
      <c r="E1045" t="s">
        <v>30</v>
      </c>
      <c r="F1045">
        <v>3.15</v>
      </c>
      <c r="G1045">
        <v>5</v>
      </c>
      <c r="H1045">
        <v>91.1</v>
      </c>
      <c r="I1045">
        <v>0.62</v>
      </c>
      <c r="J1045" t="s">
        <v>23</v>
      </c>
      <c r="K1045">
        <v>21</v>
      </c>
      <c r="L1045">
        <v>45</v>
      </c>
      <c r="M1045">
        <v>0.65</v>
      </c>
      <c r="N1045">
        <v>15</v>
      </c>
      <c r="O1045">
        <v>0.79</v>
      </c>
      <c r="P1045" t="s">
        <v>19</v>
      </c>
    </row>
    <row r="1046" spans="1:16" x14ac:dyDescent="0.35">
      <c r="A1046" t="s">
        <v>1072</v>
      </c>
      <c r="B1046">
        <v>1045</v>
      </c>
      <c r="C1046">
        <v>23</v>
      </c>
      <c r="D1046" t="s">
        <v>32</v>
      </c>
      <c r="E1046" t="s">
        <v>17</v>
      </c>
      <c r="F1046">
        <v>3.12</v>
      </c>
      <c r="G1046">
        <v>5</v>
      </c>
      <c r="H1046">
        <v>86.9</v>
      </c>
      <c r="I1046">
        <v>0.95</v>
      </c>
      <c r="J1046" t="s">
        <v>23</v>
      </c>
      <c r="K1046">
        <v>25</v>
      </c>
      <c r="L1046">
        <v>12</v>
      </c>
      <c r="M1046">
        <v>0.68</v>
      </c>
      <c r="N1046">
        <v>14</v>
      </c>
      <c r="O1046">
        <v>0.73</v>
      </c>
      <c r="P1046" t="s">
        <v>41</v>
      </c>
    </row>
    <row r="1047" spans="1:16" x14ac:dyDescent="0.35">
      <c r="A1047" t="s">
        <v>1073</v>
      </c>
      <c r="B1047">
        <v>1046</v>
      </c>
      <c r="C1047">
        <v>20</v>
      </c>
      <c r="D1047" t="s">
        <v>21</v>
      </c>
      <c r="E1047" t="s">
        <v>30</v>
      </c>
      <c r="F1047">
        <v>2.74</v>
      </c>
      <c r="G1047">
        <v>4</v>
      </c>
      <c r="H1047">
        <v>84.6</v>
      </c>
      <c r="I1047">
        <v>0.81</v>
      </c>
      <c r="J1047" t="s">
        <v>18</v>
      </c>
      <c r="K1047">
        <v>11</v>
      </c>
      <c r="L1047">
        <v>28</v>
      </c>
      <c r="M1047">
        <v>0.99</v>
      </c>
      <c r="N1047">
        <v>1</v>
      </c>
      <c r="O1047">
        <v>0.82</v>
      </c>
      <c r="P1047" t="s">
        <v>24</v>
      </c>
    </row>
    <row r="1048" spans="1:16" x14ac:dyDescent="0.35">
      <c r="A1048" t="s">
        <v>1074</v>
      </c>
      <c r="B1048">
        <v>1047</v>
      </c>
      <c r="C1048">
        <v>20</v>
      </c>
      <c r="D1048" t="s">
        <v>21</v>
      </c>
      <c r="E1048" t="s">
        <v>46</v>
      </c>
      <c r="F1048">
        <v>3.57</v>
      </c>
      <c r="G1048">
        <v>3</v>
      </c>
      <c r="H1048">
        <v>95.7</v>
      </c>
      <c r="I1048">
        <v>0.76</v>
      </c>
      <c r="J1048" t="s">
        <v>23</v>
      </c>
      <c r="K1048">
        <v>6</v>
      </c>
      <c r="L1048">
        <v>37</v>
      </c>
      <c r="M1048">
        <v>0.89</v>
      </c>
      <c r="N1048">
        <v>13</v>
      </c>
      <c r="O1048">
        <v>0.65</v>
      </c>
      <c r="P1048" t="s">
        <v>24</v>
      </c>
    </row>
    <row r="1049" spans="1:16" x14ac:dyDescent="0.35">
      <c r="A1049" t="s">
        <v>1075</v>
      </c>
      <c r="B1049">
        <v>1048</v>
      </c>
      <c r="C1049">
        <v>18</v>
      </c>
      <c r="D1049" t="s">
        <v>21</v>
      </c>
      <c r="E1049" t="s">
        <v>17</v>
      </c>
      <c r="F1049">
        <v>2.5099999999999998</v>
      </c>
      <c r="G1049">
        <v>4</v>
      </c>
      <c r="H1049">
        <v>63.1</v>
      </c>
      <c r="I1049">
        <v>0.8</v>
      </c>
      <c r="J1049" t="s">
        <v>23</v>
      </c>
      <c r="K1049">
        <v>14</v>
      </c>
      <c r="L1049">
        <v>32</v>
      </c>
      <c r="M1049">
        <v>0.54</v>
      </c>
      <c r="N1049">
        <v>2</v>
      </c>
      <c r="O1049">
        <v>0.59</v>
      </c>
      <c r="P1049" t="s">
        <v>24</v>
      </c>
    </row>
    <row r="1050" spans="1:16" x14ac:dyDescent="0.35">
      <c r="A1050" t="s">
        <v>1076</v>
      </c>
      <c r="B1050">
        <v>1049</v>
      </c>
      <c r="C1050">
        <v>22</v>
      </c>
      <c r="D1050" t="s">
        <v>32</v>
      </c>
      <c r="E1050" t="s">
        <v>17</v>
      </c>
      <c r="F1050">
        <v>3.88</v>
      </c>
      <c r="G1050">
        <v>5</v>
      </c>
      <c r="H1050">
        <v>73.2</v>
      </c>
      <c r="I1050">
        <v>0.87</v>
      </c>
      <c r="J1050" t="s">
        <v>18</v>
      </c>
      <c r="K1050">
        <v>37</v>
      </c>
      <c r="L1050">
        <v>16</v>
      </c>
      <c r="M1050">
        <v>0.94</v>
      </c>
      <c r="N1050">
        <v>3</v>
      </c>
      <c r="O1050">
        <v>0.81</v>
      </c>
      <c r="P1050" t="s">
        <v>41</v>
      </c>
    </row>
    <row r="1051" spans="1:16" x14ac:dyDescent="0.35">
      <c r="A1051" t="s">
        <v>1077</v>
      </c>
      <c r="B1051">
        <v>1050</v>
      </c>
      <c r="C1051">
        <v>18</v>
      </c>
      <c r="D1051" t="s">
        <v>32</v>
      </c>
      <c r="E1051" t="s">
        <v>22</v>
      </c>
      <c r="F1051">
        <v>3.79</v>
      </c>
      <c r="G1051">
        <v>4</v>
      </c>
      <c r="H1051">
        <v>69.900000000000006</v>
      </c>
      <c r="I1051">
        <v>0.61</v>
      </c>
      <c r="J1051" t="s">
        <v>18</v>
      </c>
      <c r="K1051">
        <v>20</v>
      </c>
      <c r="L1051">
        <v>85</v>
      </c>
      <c r="M1051">
        <v>0.82</v>
      </c>
      <c r="N1051">
        <v>0</v>
      </c>
      <c r="O1051">
        <v>0.62</v>
      </c>
      <c r="P1051" t="s">
        <v>19</v>
      </c>
    </row>
    <row r="1052" spans="1:16" x14ac:dyDescent="0.35">
      <c r="A1052" t="s">
        <v>1078</v>
      </c>
      <c r="B1052">
        <v>1051</v>
      </c>
      <c r="C1052">
        <v>19</v>
      </c>
      <c r="D1052" t="s">
        <v>32</v>
      </c>
      <c r="E1052" t="s">
        <v>22</v>
      </c>
      <c r="F1052">
        <v>2.67</v>
      </c>
      <c r="G1052">
        <v>6</v>
      </c>
      <c r="H1052">
        <v>99.5</v>
      </c>
      <c r="I1052">
        <v>0.95</v>
      </c>
      <c r="J1052" t="s">
        <v>23</v>
      </c>
      <c r="K1052">
        <v>13</v>
      </c>
      <c r="L1052">
        <v>23</v>
      </c>
      <c r="M1052">
        <v>0.95</v>
      </c>
      <c r="N1052">
        <v>8</v>
      </c>
      <c r="O1052">
        <v>0.54</v>
      </c>
      <c r="P1052" t="s">
        <v>24</v>
      </c>
    </row>
    <row r="1053" spans="1:16" x14ac:dyDescent="0.35">
      <c r="A1053" t="s">
        <v>1079</v>
      </c>
      <c r="B1053">
        <v>1052</v>
      </c>
      <c r="C1053">
        <v>18</v>
      </c>
      <c r="D1053" t="s">
        <v>32</v>
      </c>
      <c r="E1053" t="s">
        <v>30</v>
      </c>
      <c r="F1053">
        <v>3.46</v>
      </c>
      <c r="G1053">
        <v>3</v>
      </c>
      <c r="H1053">
        <v>75.599999999999994</v>
      </c>
      <c r="I1053">
        <v>0.78</v>
      </c>
      <c r="J1053" t="s">
        <v>18</v>
      </c>
      <c r="K1053">
        <v>1</v>
      </c>
      <c r="L1053">
        <v>55</v>
      </c>
      <c r="M1053">
        <v>0.67</v>
      </c>
      <c r="N1053">
        <v>16</v>
      </c>
      <c r="O1053">
        <v>0.5</v>
      </c>
      <c r="P1053" t="s">
        <v>24</v>
      </c>
    </row>
    <row r="1054" spans="1:16" x14ac:dyDescent="0.35">
      <c r="A1054" t="s">
        <v>1080</v>
      </c>
      <c r="B1054">
        <v>1053</v>
      </c>
      <c r="C1054">
        <v>20</v>
      </c>
      <c r="D1054" t="s">
        <v>32</v>
      </c>
      <c r="E1054" t="s">
        <v>22</v>
      </c>
      <c r="F1054">
        <v>3.15</v>
      </c>
      <c r="G1054">
        <v>4</v>
      </c>
      <c r="H1054">
        <v>89.3</v>
      </c>
      <c r="I1054">
        <v>0.74</v>
      </c>
      <c r="J1054" t="s">
        <v>18</v>
      </c>
      <c r="K1054">
        <v>7</v>
      </c>
      <c r="L1054">
        <v>24</v>
      </c>
      <c r="M1054">
        <v>0.73</v>
      </c>
      <c r="N1054">
        <v>13</v>
      </c>
      <c r="O1054">
        <v>0.8</v>
      </c>
      <c r="P1054" t="s">
        <v>19</v>
      </c>
    </row>
    <row r="1055" spans="1:16" x14ac:dyDescent="0.35">
      <c r="A1055" t="s">
        <v>1081</v>
      </c>
      <c r="B1055">
        <v>1054</v>
      </c>
      <c r="C1055">
        <v>24</v>
      </c>
      <c r="D1055" t="s">
        <v>16</v>
      </c>
      <c r="E1055" t="s">
        <v>22</v>
      </c>
      <c r="F1055">
        <v>2.68</v>
      </c>
      <c r="G1055">
        <v>6</v>
      </c>
      <c r="H1055">
        <v>87.4</v>
      </c>
      <c r="I1055">
        <v>0.66</v>
      </c>
      <c r="J1055" t="s">
        <v>18</v>
      </c>
      <c r="K1055">
        <v>5</v>
      </c>
      <c r="L1055">
        <v>76</v>
      </c>
      <c r="M1055">
        <v>0.95</v>
      </c>
      <c r="N1055">
        <v>16</v>
      </c>
      <c r="O1055">
        <v>0.68</v>
      </c>
      <c r="P1055" t="s">
        <v>19</v>
      </c>
    </row>
    <row r="1056" spans="1:16" x14ac:dyDescent="0.35">
      <c r="A1056" t="s">
        <v>1082</v>
      </c>
      <c r="B1056">
        <v>1055</v>
      </c>
      <c r="C1056">
        <v>18</v>
      </c>
      <c r="D1056" t="s">
        <v>21</v>
      </c>
      <c r="E1056" t="s">
        <v>22</v>
      </c>
      <c r="F1056">
        <v>3.98</v>
      </c>
      <c r="G1056">
        <v>5</v>
      </c>
      <c r="H1056">
        <v>68.5</v>
      </c>
      <c r="I1056">
        <v>0.78</v>
      </c>
      <c r="J1056" t="s">
        <v>18</v>
      </c>
      <c r="K1056">
        <v>36</v>
      </c>
      <c r="L1056">
        <v>24</v>
      </c>
      <c r="M1056">
        <v>0.64</v>
      </c>
      <c r="N1056">
        <v>0</v>
      </c>
      <c r="O1056">
        <v>0.88</v>
      </c>
      <c r="P1056" t="s">
        <v>24</v>
      </c>
    </row>
    <row r="1057" spans="1:16" x14ac:dyDescent="0.35">
      <c r="A1057" t="s">
        <v>1083</v>
      </c>
      <c r="B1057">
        <v>1056</v>
      </c>
      <c r="C1057">
        <v>22</v>
      </c>
      <c r="D1057" t="s">
        <v>21</v>
      </c>
      <c r="E1057" t="s">
        <v>17</v>
      </c>
      <c r="F1057">
        <v>2.0499999999999998</v>
      </c>
      <c r="G1057">
        <v>4</v>
      </c>
      <c r="H1057">
        <v>69.599999999999994</v>
      </c>
      <c r="I1057">
        <v>0.8</v>
      </c>
      <c r="J1057" t="s">
        <v>23</v>
      </c>
      <c r="K1057">
        <v>36</v>
      </c>
      <c r="L1057">
        <v>60</v>
      </c>
      <c r="M1057">
        <v>0.96</v>
      </c>
      <c r="N1057">
        <v>9</v>
      </c>
      <c r="O1057">
        <v>0.69</v>
      </c>
      <c r="P1057" t="s">
        <v>19</v>
      </c>
    </row>
    <row r="1058" spans="1:16" x14ac:dyDescent="0.35">
      <c r="A1058" t="s">
        <v>1084</v>
      </c>
      <c r="B1058">
        <v>1057</v>
      </c>
      <c r="C1058">
        <v>25</v>
      </c>
      <c r="D1058" t="s">
        <v>21</v>
      </c>
      <c r="E1058" t="s">
        <v>17</v>
      </c>
      <c r="F1058">
        <v>2.5099999999999998</v>
      </c>
      <c r="G1058">
        <v>5</v>
      </c>
      <c r="H1058">
        <v>71.3</v>
      </c>
      <c r="I1058">
        <v>0.76</v>
      </c>
      <c r="J1058" t="s">
        <v>18</v>
      </c>
      <c r="K1058">
        <v>32</v>
      </c>
      <c r="L1058">
        <v>17</v>
      </c>
      <c r="M1058">
        <v>0.91</v>
      </c>
      <c r="N1058">
        <v>15</v>
      </c>
      <c r="O1058">
        <v>0.74</v>
      </c>
      <c r="P1058" t="s">
        <v>24</v>
      </c>
    </row>
    <row r="1059" spans="1:16" x14ac:dyDescent="0.35">
      <c r="A1059" t="s">
        <v>1085</v>
      </c>
      <c r="B1059">
        <v>1058</v>
      </c>
      <c r="C1059">
        <v>24</v>
      </c>
      <c r="D1059" t="s">
        <v>21</v>
      </c>
      <c r="E1059" t="s">
        <v>17</v>
      </c>
      <c r="F1059">
        <v>3.04</v>
      </c>
      <c r="G1059">
        <v>6</v>
      </c>
      <c r="H1059">
        <v>76.400000000000006</v>
      </c>
      <c r="I1059">
        <v>0.87</v>
      </c>
      <c r="J1059" t="s">
        <v>28</v>
      </c>
      <c r="K1059">
        <v>5</v>
      </c>
      <c r="L1059">
        <v>78</v>
      </c>
      <c r="M1059">
        <v>0.99</v>
      </c>
      <c r="N1059">
        <v>18</v>
      </c>
      <c r="O1059">
        <v>0.7</v>
      </c>
      <c r="P1059" t="s">
        <v>41</v>
      </c>
    </row>
    <row r="1060" spans="1:16" x14ac:dyDescent="0.35">
      <c r="A1060" t="s">
        <v>1086</v>
      </c>
      <c r="B1060">
        <v>1059</v>
      </c>
      <c r="C1060">
        <v>23</v>
      </c>
      <c r="D1060" t="s">
        <v>21</v>
      </c>
      <c r="E1060" t="s">
        <v>22</v>
      </c>
      <c r="F1060">
        <v>3.04</v>
      </c>
      <c r="G1060">
        <v>5</v>
      </c>
      <c r="H1060">
        <v>69.400000000000006</v>
      </c>
      <c r="I1060">
        <v>0.77</v>
      </c>
      <c r="J1060" t="s">
        <v>18</v>
      </c>
      <c r="K1060">
        <v>25</v>
      </c>
      <c r="L1060">
        <v>71</v>
      </c>
      <c r="M1060">
        <v>0.66</v>
      </c>
      <c r="N1060">
        <v>2</v>
      </c>
      <c r="O1060">
        <v>0.83</v>
      </c>
      <c r="P1060" t="s">
        <v>24</v>
      </c>
    </row>
    <row r="1061" spans="1:16" x14ac:dyDescent="0.35">
      <c r="A1061" t="s">
        <v>1087</v>
      </c>
      <c r="B1061">
        <v>1060</v>
      </c>
      <c r="C1061">
        <v>21</v>
      </c>
      <c r="D1061" t="s">
        <v>21</v>
      </c>
      <c r="E1061" t="s">
        <v>17</v>
      </c>
      <c r="F1061">
        <v>3.18</v>
      </c>
      <c r="G1061">
        <v>6</v>
      </c>
      <c r="H1061">
        <v>60.8</v>
      </c>
      <c r="I1061">
        <v>0.98</v>
      </c>
      <c r="J1061" t="s">
        <v>28</v>
      </c>
      <c r="K1061">
        <v>38</v>
      </c>
      <c r="L1061">
        <v>60</v>
      </c>
      <c r="M1061">
        <v>0.62</v>
      </c>
      <c r="N1061">
        <v>11</v>
      </c>
      <c r="O1061">
        <v>0.68</v>
      </c>
      <c r="P1061" t="s">
        <v>41</v>
      </c>
    </row>
    <row r="1062" spans="1:16" x14ac:dyDescent="0.35">
      <c r="A1062" t="s">
        <v>1088</v>
      </c>
      <c r="B1062">
        <v>1061</v>
      </c>
      <c r="C1062">
        <v>18</v>
      </c>
      <c r="D1062" t="s">
        <v>21</v>
      </c>
      <c r="E1062" t="s">
        <v>22</v>
      </c>
      <c r="F1062">
        <v>3.5</v>
      </c>
      <c r="G1062">
        <v>6</v>
      </c>
      <c r="H1062">
        <v>95.2</v>
      </c>
      <c r="I1062">
        <v>0.84</v>
      </c>
      <c r="J1062" t="s">
        <v>18</v>
      </c>
      <c r="K1062">
        <v>36</v>
      </c>
      <c r="L1062">
        <v>72</v>
      </c>
      <c r="M1062">
        <v>0.67</v>
      </c>
      <c r="N1062">
        <v>2</v>
      </c>
      <c r="O1062">
        <v>0.98</v>
      </c>
      <c r="P1062" t="s">
        <v>24</v>
      </c>
    </row>
    <row r="1063" spans="1:16" x14ac:dyDescent="0.35">
      <c r="A1063" t="s">
        <v>1089</v>
      </c>
      <c r="B1063">
        <v>1062</v>
      </c>
      <c r="C1063">
        <v>22</v>
      </c>
      <c r="D1063" t="s">
        <v>21</v>
      </c>
      <c r="E1063" t="s">
        <v>17</v>
      </c>
      <c r="F1063">
        <v>3.25</v>
      </c>
      <c r="G1063">
        <v>6</v>
      </c>
      <c r="H1063">
        <v>98.6</v>
      </c>
      <c r="I1063">
        <v>0.92</v>
      </c>
      <c r="J1063" t="s">
        <v>28</v>
      </c>
      <c r="K1063">
        <v>13</v>
      </c>
      <c r="L1063">
        <v>77</v>
      </c>
      <c r="M1063">
        <v>0.98</v>
      </c>
      <c r="N1063">
        <v>14</v>
      </c>
      <c r="O1063">
        <v>0.97</v>
      </c>
      <c r="P1063" t="s">
        <v>41</v>
      </c>
    </row>
    <row r="1064" spans="1:16" x14ac:dyDescent="0.35">
      <c r="A1064" t="s">
        <v>1090</v>
      </c>
      <c r="B1064">
        <v>1063</v>
      </c>
      <c r="C1064">
        <v>24</v>
      </c>
      <c r="D1064" t="s">
        <v>16</v>
      </c>
      <c r="E1064" t="s">
        <v>17</v>
      </c>
      <c r="F1064">
        <v>3.2</v>
      </c>
      <c r="G1064">
        <v>4</v>
      </c>
      <c r="H1064">
        <v>73.7</v>
      </c>
      <c r="I1064">
        <v>0.64</v>
      </c>
      <c r="J1064" t="s">
        <v>28</v>
      </c>
      <c r="K1064">
        <v>36</v>
      </c>
      <c r="L1064">
        <v>87</v>
      </c>
      <c r="M1064">
        <v>0.67</v>
      </c>
      <c r="N1064">
        <v>16</v>
      </c>
      <c r="O1064">
        <v>0.92</v>
      </c>
      <c r="P1064" t="s">
        <v>19</v>
      </c>
    </row>
    <row r="1065" spans="1:16" x14ac:dyDescent="0.35">
      <c r="A1065" t="s">
        <v>1091</v>
      </c>
      <c r="B1065">
        <v>1064</v>
      </c>
      <c r="C1065">
        <v>22</v>
      </c>
      <c r="D1065" t="s">
        <v>21</v>
      </c>
      <c r="E1065" t="s">
        <v>46</v>
      </c>
      <c r="F1065">
        <v>2.11</v>
      </c>
      <c r="G1065">
        <v>5</v>
      </c>
      <c r="H1065">
        <v>73.5</v>
      </c>
      <c r="I1065">
        <v>0.76</v>
      </c>
      <c r="J1065" t="s">
        <v>18</v>
      </c>
      <c r="K1065">
        <v>7</v>
      </c>
      <c r="L1065">
        <v>25</v>
      </c>
      <c r="M1065">
        <v>0.78</v>
      </c>
      <c r="N1065">
        <v>17</v>
      </c>
      <c r="O1065">
        <v>0.96</v>
      </c>
      <c r="P1065" t="s">
        <v>19</v>
      </c>
    </row>
    <row r="1066" spans="1:16" x14ac:dyDescent="0.35">
      <c r="A1066" t="s">
        <v>1092</v>
      </c>
      <c r="B1066">
        <v>1065</v>
      </c>
      <c r="C1066">
        <v>23</v>
      </c>
      <c r="D1066" t="s">
        <v>16</v>
      </c>
      <c r="E1066" t="s">
        <v>30</v>
      </c>
      <c r="F1066">
        <v>2.75</v>
      </c>
      <c r="G1066">
        <v>5</v>
      </c>
      <c r="H1066">
        <v>60.3</v>
      </c>
      <c r="I1066">
        <v>0.73</v>
      </c>
      <c r="J1066" t="s">
        <v>18</v>
      </c>
      <c r="K1066">
        <v>38</v>
      </c>
      <c r="L1066">
        <v>33</v>
      </c>
      <c r="M1066">
        <v>0.7</v>
      </c>
      <c r="N1066">
        <v>6</v>
      </c>
      <c r="O1066">
        <v>0.72</v>
      </c>
      <c r="P1066" t="s">
        <v>19</v>
      </c>
    </row>
    <row r="1067" spans="1:16" x14ac:dyDescent="0.35">
      <c r="A1067" t="s">
        <v>1093</v>
      </c>
      <c r="B1067">
        <v>1066</v>
      </c>
      <c r="C1067">
        <v>20</v>
      </c>
      <c r="D1067" t="s">
        <v>32</v>
      </c>
      <c r="E1067" t="s">
        <v>22</v>
      </c>
      <c r="F1067">
        <v>2.46</v>
      </c>
      <c r="G1067">
        <v>3</v>
      </c>
      <c r="H1067">
        <v>87.2</v>
      </c>
      <c r="I1067">
        <v>0.83</v>
      </c>
      <c r="J1067" t="s">
        <v>18</v>
      </c>
      <c r="K1067">
        <v>12</v>
      </c>
      <c r="L1067">
        <v>15</v>
      </c>
      <c r="M1067">
        <v>0.7</v>
      </c>
      <c r="N1067">
        <v>18</v>
      </c>
      <c r="O1067">
        <v>0.77</v>
      </c>
      <c r="P1067" t="s">
        <v>19</v>
      </c>
    </row>
    <row r="1068" spans="1:16" x14ac:dyDescent="0.35">
      <c r="A1068" t="s">
        <v>1094</v>
      </c>
      <c r="B1068">
        <v>1067</v>
      </c>
      <c r="C1068">
        <v>22</v>
      </c>
      <c r="D1068" t="s">
        <v>21</v>
      </c>
      <c r="E1068" t="s">
        <v>46</v>
      </c>
      <c r="F1068">
        <v>2.5299999999999998</v>
      </c>
      <c r="G1068">
        <v>3</v>
      </c>
      <c r="H1068">
        <v>93</v>
      </c>
      <c r="I1068">
        <v>0.94</v>
      </c>
      <c r="J1068" t="s">
        <v>28</v>
      </c>
      <c r="K1068">
        <v>12</v>
      </c>
      <c r="L1068">
        <v>66</v>
      </c>
      <c r="M1068">
        <v>0.6</v>
      </c>
      <c r="N1068">
        <v>6</v>
      </c>
      <c r="O1068">
        <v>0.87</v>
      </c>
      <c r="P1068" t="s">
        <v>24</v>
      </c>
    </row>
    <row r="1069" spans="1:16" x14ac:dyDescent="0.35">
      <c r="A1069" t="s">
        <v>1095</v>
      </c>
      <c r="B1069">
        <v>1068</v>
      </c>
      <c r="C1069">
        <v>24</v>
      </c>
      <c r="D1069" t="s">
        <v>32</v>
      </c>
      <c r="E1069" t="s">
        <v>17</v>
      </c>
      <c r="F1069">
        <v>3.11</v>
      </c>
      <c r="G1069">
        <v>3</v>
      </c>
      <c r="H1069">
        <v>65.900000000000006</v>
      </c>
      <c r="I1069">
        <v>0.63</v>
      </c>
      <c r="J1069" t="s">
        <v>23</v>
      </c>
      <c r="K1069">
        <v>39</v>
      </c>
      <c r="L1069">
        <v>40</v>
      </c>
      <c r="M1069">
        <v>0.77</v>
      </c>
      <c r="N1069">
        <v>4</v>
      </c>
      <c r="O1069">
        <v>0.85</v>
      </c>
      <c r="P1069" t="s">
        <v>19</v>
      </c>
    </row>
    <row r="1070" spans="1:16" x14ac:dyDescent="0.35">
      <c r="A1070" t="s">
        <v>1096</v>
      </c>
      <c r="B1070">
        <v>1069</v>
      </c>
      <c r="C1070">
        <v>22</v>
      </c>
      <c r="D1070" t="s">
        <v>32</v>
      </c>
      <c r="E1070" t="s">
        <v>22</v>
      </c>
      <c r="F1070">
        <v>2.4</v>
      </c>
      <c r="G1070">
        <v>3</v>
      </c>
      <c r="H1070">
        <v>66.400000000000006</v>
      </c>
      <c r="I1070">
        <v>0.63</v>
      </c>
      <c r="J1070" t="s">
        <v>23</v>
      </c>
      <c r="K1070">
        <v>27</v>
      </c>
      <c r="L1070">
        <v>15</v>
      </c>
      <c r="M1070">
        <v>0.92</v>
      </c>
      <c r="N1070">
        <v>7</v>
      </c>
      <c r="O1070">
        <v>0.95</v>
      </c>
      <c r="P1070" t="s">
        <v>19</v>
      </c>
    </row>
    <row r="1071" spans="1:16" x14ac:dyDescent="0.35">
      <c r="A1071" t="s">
        <v>1097</v>
      </c>
      <c r="B1071">
        <v>1070</v>
      </c>
      <c r="C1071">
        <v>22</v>
      </c>
      <c r="D1071" t="s">
        <v>32</v>
      </c>
      <c r="E1071" t="s">
        <v>17</v>
      </c>
      <c r="F1071">
        <v>2.59</v>
      </c>
      <c r="G1071">
        <v>5</v>
      </c>
      <c r="H1071">
        <v>91.6</v>
      </c>
      <c r="I1071">
        <v>0.94</v>
      </c>
      <c r="J1071" t="s">
        <v>18</v>
      </c>
      <c r="K1071">
        <v>17</v>
      </c>
      <c r="L1071">
        <v>88</v>
      </c>
      <c r="M1071">
        <v>0.52</v>
      </c>
      <c r="N1071">
        <v>15</v>
      </c>
      <c r="O1071">
        <v>0.86</v>
      </c>
      <c r="P1071" t="s">
        <v>24</v>
      </c>
    </row>
    <row r="1072" spans="1:16" x14ac:dyDescent="0.35">
      <c r="A1072" t="s">
        <v>1098</v>
      </c>
      <c r="B1072">
        <v>1071</v>
      </c>
      <c r="C1072">
        <v>22</v>
      </c>
      <c r="D1072" t="s">
        <v>16</v>
      </c>
      <c r="E1072" t="s">
        <v>30</v>
      </c>
      <c r="F1072">
        <v>2.4700000000000002</v>
      </c>
      <c r="G1072">
        <v>6</v>
      </c>
      <c r="H1072">
        <v>84.7</v>
      </c>
      <c r="I1072">
        <v>0.69</v>
      </c>
      <c r="J1072" t="s">
        <v>23</v>
      </c>
      <c r="K1072">
        <v>18</v>
      </c>
      <c r="L1072">
        <v>38</v>
      </c>
      <c r="M1072">
        <v>0.94</v>
      </c>
      <c r="N1072">
        <v>15</v>
      </c>
      <c r="O1072">
        <v>1</v>
      </c>
      <c r="P1072" t="s">
        <v>19</v>
      </c>
    </row>
    <row r="1073" spans="1:16" x14ac:dyDescent="0.35">
      <c r="A1073" t="s">
        <v>1099</v>
      </c>
      <c r="B1073">
        <v>1072</v>
      </c>
      <c r="C1073">
        <v>19</v>
      </c>
      <c r="D1073" t="s">
        <v>32</v>
      </c>
      <c r="E1073" t="s">
        <v>46</v>
      </c>
      <c r="F1073">
        <v>3.9</v>
      </c>
      <c r="G1073">
        <v>6</v>
      </c>
      <c r="H1073">
        <v>61.8</v>
      </c>
      <c r="I1073">
        <v>0.87</v>
      </c>
      <c r="J1073" t="s">
        <v>23</v>
      </c>
      <c r="K1073">
        <v>37</v>
      </c>
      <c r="L1073">
        <v>76</v>
      </c>
      <c r="M1073">
        <v>0.83</v>
      </c>
      <c r="N1073">
        <v>18</v>
      </c>
      <c r="O1073">
        <v>0.67</v>
      </c>
      <c r="P1073" t="s">
        <v>41</v>
      </c>
    </row>
    <row r="1074" spans="1:16" x14ac:dyDescent="0.35">
      <c r="A1074" t="s">
        <v>1100</v>
      </c>
      <c r="B1074">
        <v>1073</v>
      </c>
      <c r="C1074">
        <v>19</v>
      </c>
      <c r="D1074" t="s">
        <v>32</v>
      </c>
      <c r="E1074" t="s">
        <v>30</v>
      </c>
      <c r="F1074">
        <v>3.89</v>
      </c>
      <c r="G1074">
        <v>4</v>
      </c>
      <c r="H1074">
        <v>84.9</v>
      </c>
      <c r="I1074">
        <v>0.82</v>
      </c>
      <c r="J1074" t="s">
        <v>18</v>
      </c>
      <c r="K1074">
        <v>31</v>
      </c>
      <c r="L1074">
        <v>84</v>
      </c>
      <c r="M1074">
        <v>0.81</v>
      </c>
      <c r="N1074">
        <v>14</v>
      </c>
      <c r="O1074">
        <v>0.92</v>
      </c>
      <c r="P1074" t="s">
        <v>24</v>
      </c>
    </row>
    <row r="1075" spans="1:16" x14ac:dyDescent="0.35">
      <c r="A1075" t="s">
        <v>1101</v>
      </c>
      <c r="B1075">
        <v>1074</v>
      </c>
      <c r="C1075">
        <v>20</v>
      </c>
      <c r="D1075" t="s">
        <v>32</v>
      </c>
      <c r="E1075" t="s">
        <v>46</v>
      </c>
      <c r="F1075">
        <v>3.22</v>
      </c>
      <c r="G1075">
        <v>6</v>
      </c>
      <c r="H1075">
        <v>72.400000000000006</v>
      </c>
      <c r="I1075">
        <v>0.93</v>
      </c>
      <c r="J1075" t="s">
        <v>28</v>
      </c>
      <c r="K1075">
        <v>21</v>
      </c>
      <c r="L1075">
        <v>12</v>
      </c>
      <c r="M1075">
        <v>0.81</v>
      </c>
      <c r="N1075">
        <v>6</v>
      </c>
      <c r="O1075">
        <v>0.85</v>
      </c>
      <c r="P1075" t="s">
        <v>41</v>
      </c>
    </row>
    <row r="1076" spans="1:16" x14ac:dyDescent="0.35">
      <c r="A1076" t="s">
        <v>1102</v>
      </c>
      <c r="B1076">
        <v>1075</v>
      </c>
      <c r="C1076">
        <v>18</v>
      </c>
      <c r="D1076" t="s">
        <v>21</v>
      </c>
      <c r="E1076" t="s">
        <v>17</v>
      </c>
      <c r="F1076">
        <v>3.85</v>
      </c>
      <c r="G1076">
        <v>5</v>
      </c>
      <c r="H1076">
        <v>74.7</v>
      </c>
      <c r="I1076">
        <v>0.65</v>
      </c>
      <c r="J1076" t="s">
        <v>18</v>
      </c>
      <c r="K1076">
        <v>1</v>
      </c>
      <c r="L1076">
        <v>37</v>
      </c>
      <c r="M1076">
        <v>0.65</v>
      </c>
      <c r="N1076">
        <v>4</v>
      </c>
      <c r="O1076">
        <v>0.85</v>
      </c>
      <c r="P1076" t="s">
        <v>19</v>
      </c>
    </row>
    <row r="1077" spans="1:16" x14ac:dyDescent="0.35">
      <c r="A1077" t="s">
        <v>1103</v>
      </c>
      <c r="B1077">
        <v>1076</v>
      </c>
      <c r="C1077">
        <v>22</v>
      </c>
      <c r="D1077" t="s">
        <v>21</v>
      </c>
      <c r="E1077" t="s">
        <v>30</v>
      </c>
      <c r="F1077">
        <v>3.57</v>
      </c>
      <c r="G1077">
        <v>5</v>
      </c>
      <c r="H1077">
        <v>90.8</v>
      </c>
      <c r="I1077">
        <v>0.65</v>
      </c>
      <c r="J1077" t="s">
        <v>23</v>
      </c>
      <c r="K1077">
        <v>12</v>
      </c>
      <c r="L1077">
        <v>83</v>
      </c>
      <c r="M1077">
        <v>0.71</v>
      </c>
      <c r="N1077">
        <v>10</v>
      </c>
      <c r="O1077">
        <v>0.66</v>
      </c>
      <c r="P1077" t="s">
        <v>19</v>
      </c>
    </row>
    <row r="1078" spans="1:16" x14ac:dyDescent="0.35">
      <c r="A1078" t="s">
        <v>1104</v>
      </c>
      <c r="B1078">
        <v>1077</v>
      </c>
      <c r="C1078">
        <v>23</v>
      </c>
      <c r="D1078" t="s">
        <v>16</v>
      </c>
      <c r="E1078" t="s">
        <v>30</v>
      </c>
      <c r="F1078">
        <v>3.18</v>
      </c>
      <c r="G1078">
        <v>5</v>
      </c>
      <c r="H1078">
        <v>92.4</v>
      </c>
      <c r="I1078">
        <v>0.82</v>
      </c>
      <c r="J1078" t="s">
        <v>28</v>
      </c>
      <c r="K1078">
        <v>22</v>
      </c>
      <c r="L1078">
        <v>57</v>
      </c>
      <c r="M1078">
        <v>0.9</v>
      </c>
      <c r="N1078">
        <v>9</v>
      </c>
      <c r="O1078">
        <v>0.89</v>
      </c>
      <c r="P1078" t="s">
        <v>24</v>
      </c>
    </row>
    <row r="1079" spans="1:16" x14ac:dyDescent="0.35">
      <c r="A1079" t="s">
        <v>1105</v>
      </c>
      <c r="B1079">
        <v>1078</v>
      </c>
      <c r="C1079">
        <v>18</v>
      </c>
      <c r="D1079" t="s">
        <v>16</v>
      </c>
      <c r="E1079" t="s">
        <v>17</v>
      </c>
      <c r="F1079">
        <v>2.0099999999999998</v>
      </c>
      <c r="G1079">
        <v>4</v>
      </c>
      <c r="H1079">
        <v>76</v>
      </c>
      <c r="I1079">
        <v>0.98</v>
      </c>
      <c r="J1079" t="s">
        <v>23</v>
      </c>
      <c r="K1079">
        <v>24</v>
      </c>
      <c r="L1079">
        <v>89</v>
      </c>
      <c r="M1079">
        <v>0.65</v>
      </c>
      <c r="N1079">
        <v>8</v>
      </c>
      <c r="O1079">
        <v>0.95</v>
      </c>
      <c r="P1079" t="s">
        <v>19</v>
      </c>
    </row>
    <row r="1080" spans="1:16" x14ac:dyDescent="0.35">
      <c r="A1080" t="s">
        <v>1106</v>
      </c>
      <c r="B1080">
        <v>1079</v>
      </c>
      <c r="C1080">
        <v>23</v>
      </c>
      <c r="D1080" t="s">
        <v>21</v>
      </c>
      <c r="E1080" t="s">
        <v>30</v>
      </c>
      <c r="F1080">
        <v>3.55</v>
      </c>
      <c r="G1080">
        <v>3</v>
      </c>
      <c r="H1080">
        <v>97.9</v>
      </c>
      <c r="I1080">
        <v>0.77</v>
      </c>
      <c r="J1080" t="s">
        <v>28</v>
      </c>
      <c r="K1080">
        <v>27</v>
      </c>
      <c r="L1080">
        <v>19</v>
      </c>
      <c r="M1080">
        <v>0.74</v>
      </c>
      <c r="N1080">
        <v>0</v>
      </c>
      <c r="O1080">
        <v>0.61</v>
      </c>
      <c r="P1080" t="s">
        <v>24</v>
      </c>
    </row>
    <row r="1081" spans="1:16" x14ac:dyDescent="0.35">
      <c r="A1081" t="s">
        <v>1107</v>
      </c>
      <c r="B1081">
        <v>1080</v>
      </c>
      <c r="C1081">
        <v>18</v>
      </c>
      <c r="D1081" t="s">
        <v>16</v>
      </c>
      <c r="E1081" t="s">
        <v>22</v>
      </c>
      <c r="F1081">
        <v>3.4</v>
      </c>
      <c r="G1081">
        <v>6</v>
      </c>
      <c r="H1081">
        <v>76.3</v>
      </c>
      <c r="I1081">
        <v>0.73</v>
      </c>
      <c r="J1081" t="s">
        <v>23</v>
      </c>
      <c r="K1081">
        <v>10</v>
      </c>
      <c r="L1081">
        <v>42</v>
      </c>
      <c r="M1081">
        <v>0.51</v>
      </c>
      <c r="N1081">
        <v>19</v>
      </c>
      <c r="O1081">
        <v>0.81</v>
      </c>
      <c r="P1081" t="s">
        <v>19</v>
      </c>
    </row>
    <row r="1082" spans="1:16" x14ac:dyDescent="0.35">
      <c r="A1082" t="s">
        <v>1108</v>
      </c>
      <c r="B1082">
        <v>1081</v>
      </c>
      <c r="C1082">
        <v>20</v>
      </c>
      <c r="D1082" t="s">
        <v>21</v>
      </c>
      <c r="E1082" t="s">
        <v>46</v>
      </c>
      <c r="F1082">
        <v>3.23</v>
      </c>
      <c r="G1082">
        <v>5</v>
      </c>
      <c r="H1082">
        <v>90.9</v>
      </c>
      <c r="I1082">
        <v>0.84</v>
      </c>
      <c r="J1082" t="s">
        <v>18</v>
      </c>
      <c r="K1082">
        <v>32</v>
      </c>
      <c r="L1082">
        <v>76</v>
      </c>
      <c r="M1082">
        <v>0.87</v>
      </c>
      <c r="N1082">
        <v>0</v>
      </c>
      <c r="O1082">
        <v>0.7</v>
      </c>
      <c r="P1082" t="s">
        <v>24</v>
      </c>
    </row>
    <row r="1083" spans="1:16" x14ac:dyDescent="0.35">
      <c r="A1083" t="s">
        <v>1109</v>
      </c>
      <c r="B1083">
        <v>1082</v>
      </c>
      <c r="C1083">
        <v>22</v>
      </c>
      <c r="D1083" t="s">
        <v>32</v>
      </c>
      <c r="E1083" t="s">
        <v>46</v>
      </c>
      <c r="F1083">
        <v>3.52</v>
      </c>
      <c r="G1083">
        <v>5</v>
      </c>
      <c r="H1083">
        <v>79.400000000000006</v>
      </c>
      <c r="I1083">
        <v>0.97</v>
      </c>
      <c r="J1083" t="s">
        <v>23</v>
      </c>
      <c r="K1083">
        <v>23</v>
      </c>
      <c r="L1083">
        <v>78</v>
      </c>
      <c r="M1083">
        <v>0.71</v>
      </c>
      <c r="N1083">
        <v>7</v>
      </c>
      <c r="O1083">
        <v>0.99</v>
      </c>
      <c r="P1083" t="s">
        <v>41</v>
      </c>
    </row>
    <row r="1084" spans="1:16" x14ac:dyDescent="0.35">
      <c r="A1084" t="s">
        <v>1110</v>
      </c>
      <c r="B1084">
        <v>1083</v>
      </c>
      <c r="C1084">
        <v>22</v>
      </c>
      <c r="D1084" t="s">
        <v>32</v>
      </c>
      <c r="E1084" t="s">
        <v>46</v>
      </c>
      <c r="F1084">
        <v>3.03</v>
      </c>
      <c r="G1084">
        <v>3</v>
      </c>
      <c r="H1084">
        <v>95.9</v>
      </c>
      <c r="I1084">
        <v>0.93</v>
      </c>
      <c r="J1084" t="s">
        <v>23</v>
      </c>
      <c r="K1084">
        <v>1</v>
      </c>
      <c r="L1084">
        <v>21</v>
      </c>
      <c r="M1084">
        <v>0.76</v>
      </c>
      <c r="N1084">
        <v>2</v>
      </c>
      <c r="O1084">
        <v>0.74</v>
      </c>
      <c r="P1084" t="s">
        <v>41</v>
      </c>
    </row>
    <row r="1085" spans="1:16" x14ac:dyDescent="0.35">
      <c r="A1085" t="s">
        <v>1111</v>
      </c>
      <c r="B1085">
        <v>1084</v>
      </c>
      <c r="C1085">
        <v>21</v>
      </c>
      <c r="D1085" t="s">
        <v>16</v>
      </c>
      <c r="E1085" t="s">
        <v>22</v>
      </c>
      <c r="F1085">
        <v>3.41</v>
      </c>
      <c r="G1085">
        <v>5</v>
      </c>
      <c r="H1085">
        <v>96.3</v>
      </c>
      <c r="I1085">
        <v>1</v>
      </c>
      <c r="J1085" t="s">
        <v>28</v>
      </c>
      <c r="K1085">
        <v>29</v>
      </c>
      <c r="L1085">
        <v>66</v>
      </c>
      <c r="M1085">
        <v>0.56000000000000005</v>
      </c>
      <c r="N1085">
        <v>1</v>
      </c>
      <c r="O1085">
        <v>0.61</v>
      </c>
      <c r="P1085" t="s">
        <v>41</v>
      </c>
    </row>
    <row r="1086" spans="1:16" x14ac:dyDescent="0.35">
      <c r="A1086" t="s">
        <v>1112</v>
      </c>
      <c r="B1086">
        <v>1085</v>
      </c>
      <c r="C1086">
        <v>23</v>
      </c>
      <c r="D1086" t="s">
        <v>21</v>
      </c>
      <c r="E1086" t="s">
        <v>46</v>
      </c>
      <c r="F1086">
        <v>3.87</v>
      </c>
      <c r="G1086">
        <v>6</v>
      </c>
      <c r="H1086">
        <v>63.5</v>
      </c>
      <c r="I1086">
        <v>0.61</v>
      </c>
      <c r="J1086" t="s">
        <v>23</v>
      </c>
      <c r="K1086">
        <v>16</v>
      </c>
      <c r="L1086">
        <v>53</v>
      </c>
      <c r="M1086">
        <v>1</v>
      </c>
      <c r="N1086">
        <v>3</v>
      </c>
      <c r="O1086">
        <v>0.69</v>
      </c>
      <c r="P1086" t="s">
        <v>19</v>
      </c>
    </row>
    <row r="1087" spans="1:16" x14ac:dyDescent="0.35">
      <c r="A1087" t="s">
        <v>1113</v>
      </c>
      <c r="B1087">
        <v>1086</v>
      </c>
      <c r="C1087">
        <v>18</v>
      </c>
      <c r="D1087" t="s">
        <v>21</v>
      </c>
      <c r="E1087" t="s">
        <v>17</v>
      </c>
      <c r="F1087">
        <v>2.75</v>
      </c>
      <c r="G1087">
        <v>4</v>
      </c>
      <c r="H1087">
        <v>97.5</v>
      </c>
      <c r="I1087">
        <v>0.65</v>
      </c>
      <c r="J1087" t="s">
        <v>18</v>
      </c>
      <c r="K1087">
        <v>39</v>
      </c>
      <c r="L1087">
        <v>22</v>
      </c>
      <c r="M1087">
        <v>0.65</v>
      </c>
      <c r="N1087">
        <v>18</v>
      </c>
      <c r="O1087">
        <v>0.83</v>
      </c>
      <c r="P1087" t="s">
        <v>19</v>
      </c>
    </row>
    <row r="1088" spans="1:16" x14ac:dyDescent="0.35">
      <c r="A1088" t="s">
        <v>1114</v>
      </c>
      <c r="B1088">
        <v>1087</v>
      </c>
      <c r="C1088">
        <v>18</v>
      </c>
      <c r="D1088" t="s">
        <v>16</v>
      </c>
      <c r="E1088" t="s">
        <v>30</v>
      </c>
      <c r="F1088">
        <v>3.42</v>
      </c>
      <c r="G1088">
        <v>5</v>
      </c>
      <c r="H1088">
        <v>93</v>
      </c>
      <c r="I1088">
        <v>0.84</v>
      </c>
      <c r="J1088" t="s">
        <v>18</v>
      </c>
      <c r="K1088">
        <v>33</v>
      </c>
      <c r="L1088">
        <v>33</v>
      </c>
      <c r="M1088">
        <v>0.82</v>
      </c>
      <c r="N1088">
        <v>10</v>
      </c>
      <c r="O1088">
        <v>0.54</v>
      </c>
      <c r="P1088" t="s">
        <v>24</v>
      </c>
    </row>
    <row r="1089" spans="1:16" x14ac:dyDescent="0.35">
      <c r="A1089" t="s">
        <v>1115</v>
      </c>
      <c r="B1089">
        <v>1088</v>
      </c>
      <c r="C1089">
        <v>25</v>
      </c>
      <c r="D1089" t="s">
        <v>21</v>
      </c>
      <c r="E1089" t="s">
        <v>22</v>
      </c>
      <c r="F1089">
        <v>2.95</v>
      </c>
      <c r="G1089">
        <v>6</v>
      </c>
      <c r="H1089">
        <v>91.7</v>
      </c>
      <c r="I1089">
        <v>0.93</v>
      </c>
      <c r="J1089" t="s">
        <v>18</v>
      </c>
      <c r="K1089">
        <v>37</v>
      </c>
      <c r="L1089">
        <v>53</v>
      </c>
      <c r="M1089">
        <v>0.79</v>
      </c>
      <c r="N1089">
        <v>4</v>
      </c>
      <c r="O1089">
        <v>0.8</v>
      </c>
      <c r="P1089" t="s">
        <v>24</v>
      </c>
    </row>
    <row r="1090" spans="1:16" x14ac:dyDescent="0.35">
      <c r="A1090" t="s">
        <v>1116</v>
      </c>
      <c r="B1090">
        <v>1089</v>
      </c>
      <c r="C1090">
        <v>25</v>
      </c>
      <c r="D1090" t="s">
        <v>32</v>
      </c>
      <c r="E1090" t="s">
        <v>46</v>
      </c>
      <c r="F1090">
        <v>3.35</v>
      </c>
      <c r="G1090">
        <v>5</v>
      </c>
      <c r="H1090">
        <v>68</v>
      </c>
      <c r="I1090">
        <v>0.71</v>
      </c>
      <c r="J1090" t="s">
        <v>28</v>
      </c>
      <c r="K1090">
        <v>21</v>
      </c>
      <c r="L1090">
        <v>66</v>
      </c>
      <c r="M1090">
        <v>0.89</v>
      </c>
      <c r="N1090">
        <v>9</v>
      </c>
      <c r="O1090">
        <v>0.97</v>
      </c>
      <c r="P1090" t="s">
        <v>19</v>
      </c>
    </row>
    <row r="1091" spans="1:16" x14ac:dyDescent="0.35">
      <c r="A1091" t="s">
        <v>1117</v>
      </c>
      <c r="B1091">
        <v>1090</v>
      </c>
      <c r="C1091">
        <v>19</v>
      </c>
      <c r="D1091" t="s">
        <v>16</v>
      </c>
      <c r="E1091" t="s">
        <v>17</v>
      </c>
      <c r="F1091">
        <v>3.53</v>
      </c>
      <c r="G1091">
        <v>3</v>
      </c>
      <c r="H1091">
        <v>92.2</v>
      </c>
      <c r="I1091">
        <v>0.7</v>
      </c>
      <c r="J1091" t="s">
        <v>28</v>
      </c>
      <c r="K1091">
        <v>4</v>
      </c>
      <c r="L1091">
        <v>25</v>
      </c>
      <c r="M1091">
        <v>0.65</v>
      </c>
      <c r="N1091">
        <v>7</v>
      </c>
      <c r="O1091">
        <v>0.93</v>
      </c>
      <c r="P1091" t="s">
        <v>19</v>
      </c>
    </row>
    <row r="1092" spans="1:16" x14ac:dyDescent="0.35">
      <c r="A1092" t="s">
        <v>1118</v>
      </c>
      <c r="B1092">
        <v>1091</v>
      </c>
      <c r="C1092">
        <v>21</v>
      </c>
      <c r="D1092" t="s">
        <v>16</v>
      </c>
      <c r="E1092" t="s">
        <v>30</v>
      </c>
      <c r="F1092">
        <v>2.09</v>
      </c>
      <c r="G1092">
        <v>5</v>
      </c>
      <c r="H1092">
        <v>94</v>
      </c>
      <c r="I1092">
        <v>0.91</v>
      </c>
      <c r="J1092" t="s">
        <v>23</v>
      </c>
      <c r="K1092">
        <v>39</v>
      </c>
      <c r="L1092">
        <v>30</v>
      </c>
      <c r="M1092">
        <v>0.88</v>
      </c>
      <c r="N1092">
        <v>12</v>
      </c>
      <c r="O1092">
        <v>0.53</v>
      </c>
      <c r="P1092" t="s">
        <v>19</v>
      </c>
    </row>
    <row r="1093" spans="1:16" x14ac:dyDescent="0.35">
      <c r="A1093" t="s">
        <v>1119</v>
      </c>
      <c r="B1093">
        <v>1092</v>
      </c>
      <c r="C1093">
        <v>24</v>
      </c>
      <c r="D1093" t="s">
        <v>21</v>
      </c>
      <c r="E1093" t="s">
        <v>30</v>
      </c>
      <c r="F1093">
        <v>3.29</v>
      </c>
      <c r="G1093">
        <v>5</v>
      </c>
      <c r="H1093">
        <v>71.599999999999994</v>
      </c>
      <c r="I1093">
        <v>0.62</v>
      </c>
      <c r="J1093" t="s">
        <v>23</v>
      </c>
      <c r="K1093">
        <v>15</v>
      </c>
      <c r="L1093">
        <v>85</v>
      </c>
      <c r="M1093">
        <v>0.69</v>
      </c>
      <c r="N1093">
        <v>4</v>
      </c>
      <c r="O1093">
        <v>1</v>
      </c>
      <c r="P1093" t="s">
        <v>19</v>
      </c>
    </row>
    <row r="1094" spans="1:16" x14ac:dyDescent="0.35">
      <c r="A1094" t="s">
        <v>1120</v>
      </c>
      <c r="B1094">
        <v>1093</v>
      </c>
      <c r="C1094">
        <v>25</v>
      </c>
      <c r="D1094" t="s">
        <v>16</v>
      </c>
      <c r="E1094" t="s">
        <v>22</v>
      </c>
      <c r="F1094">
        <v>2.4500000000000002</v>
      </c>
      <c r="G1094">
        <v>4</v>
      </c>
      <c r="H1094">
        <v>98.1</v>
      </c>
      <c r="I1094">
        <v>0.75</v>
      </c>
      <c r="J1094" t="s">
        <v>23</v>
      </c>
      <c r="K1094">
        <v>12</v>
      </c>
      <c r="L1094">
        <v>60</v>
      </c>
      <c r="M1094">
        <v>0.71</v>
      </c>
      <c r="N1094">
        <v>11</v>
      </c>
      <c r="O1094">
        <v>0.85</v>
      </c>
      <c r="P1094" t="s">
        <v>19</v>
      </c>
    </row>
    <row r="1095" spans="1:16" x14ac:dyDescent="0.35">
      <c r="A1095" t="s">
        <v>1121</v>
      </c>
      <c r="B1095">
        <v>1094</v>
      </c>
      <c r="C1095">
        <v>24</v>
      </c>
      <c r="D1095" t="s">
        <v>21</v>
      </c>
      <c r="E1095" t="s">
        <v>22</v>
      </c>
      <c r="F1095">
        <v>3.34</v>
      </c>
      <c r="G1095">
        <v>3</v>
      </c>
      <c r="H1095">
        <v>62</v>
      </c>
      <c r="I1095">
        <v>0.8</v>
      </c>
      <c r="J1095" t="s">
        <v>28</v>
      </c>
      <c r="K1095">
        <v>25</v>
      </c>
      <c r="L1095">
        <v>30</v>
      </c>
      <c r="M1095">
        <v>0.84</v>
      </c>
      <c r="N1095">
        <v>12</v>
      </c>
      <c r="O1095">
        <v>0.57999999999999996</v>
      </c>
      <c r="P1095" t="s">
        <v>24</v>
      </c>
    </row>
    <row r="1096" spans="1:16" x14ac:dyDescent="0.35">
      <c r="A1096" t="s">
        <v>1122</v>
      </c>
      <c r="B1096">
        <v>1095</v>
      </c>
      <c r="C1096">
        <v>19</v>
      </c>
      <c r="D1096" t="s">
        <v>21</v>
      </c>
      <c r="E1096" t="s">
        <v>22</v>
      </c>
      <c r="F1096">
        <v>2.94</v>
      </c>
      <c r="G1096">
        <v>3</v>
      </c>
      <c r="H1096">
        <v>66</v>
      </c>
      <c r="I1096">
        <v>0.82</v>
      </c>
      <c r="J1096" t="s">
        <v>28</v>
      </c>
      <c r="K1096">
        <v>30</v>
      </c>
      <c r="L1096">
        <v>69</v>
      </c>
      <c r="M1096">
        <v>0.89</v>
      </c>
      <c r="N1096">
        <v>7</v>
      </c>
      <c r="O1096">
        <v>0.51</v>
      </c>
      <c r="P1096" t="s">
        <v>24</v>
      </c>
    </row>
    <row r="1097" spans="1:16" x14ac:dyDescent="0.35">
      <c r="A1097" t="s">
        <v>1123</v>
      </c>
      <c r="B1097">
        <v>1096</v>
      </c>
      <c r="C1097">
        <v>19</v>
      </c>
      <c r="D1097" t="s">
        <v>21</v>
      </c>
      <c r="E1097" t="s">
        <v>17</v>
      </c>
      <c r="F1097">
        <v>3.55</v>
      </c>
      <c r="G1097">
        <v>4</v>
      </c>
      <c r="H1097">
        <v>81.5</v>
      </c>
      <c r="I1097">
        <v>0.89</v>
      </c>
      <c r="J1097" t="s">
        <v>23</v>
      </c>
      <c r="K1097">
        <v>38</v>
      </c>
      <c r="L1097">
        <v>60</v>
      </c>
      <c r="M1097">
        <v>0.83</v>
      </c>
      <c r="N1097">
        <v>14</v>
      </c>
      <c r="O1097">
        <v>0.59</v>
      </c>
      <c r="P1097" t="s">
        <v>41</v>
      </c>
    </row>
    <row r="1098" spans="1:16" x14ac:dyDescent="0.35">
      <c r="A1098" t="s">
        <v>1124</v>
      </c>
      <c r="B1098">
        <v>1097</v>
      </c>
      <c r="C1098">
        <v>19</v>
      </c>
      <c r="D1098" t="s">
        <v>21</v>
      </c>
      <c r="E1098" t="s">
        <v>17</v>
      </c>
      <c r="F1098">
        <v>2.25</v>
      </c>
      <c r="G1098">
        <v>5</v>
      </c>
      <c r="H1098">
        <v>83</v>
      </c>
      <c r="I1098">
        <v>0.74</v>
      </c>
      <c r="J1098" t="s">
        <v>28</v>
      </c>
      <c r="K1098">
        <v>22</v>
      </c>
      <c r="L1098">
        <v>30</v>
      </c>
      <c r="M1098">
        <v>0.95</v>
      </c>
      <c r="N1098">
        <v>12</v>
      </c>
      <c r="O1098">
        <v>0.92</v>
      </c>
      <c r="P1098" t="s">
        <v>19</v>
      </c>
    </row>
    <row r="1099" spans="1:16" x14ac:dyDescent="0.35">
      <c r="A1099" t="s">
        <v>1125</v>
      </c>
      <c r="B1099">
        <v>1098</v>
      </c>
      <c r="C1099">
        <v>23</v>
      </c>
      <c r="D1099" t="s">
        <v>21</v>
      </c>
      <c r="E1099" t="s">
        <v>22</v>
      </c>
      <c r="F1099">
        <v>3.25</v>
      </c>
      <c r="G1099">
        <v>6</v>
      </c>
      <c r="H1099">
        <v>85.8</v>
      </c>
      <c r="I1099">
        <v>0.85</v>
      </c>
      <c r="J1099" t="s">
        <v>28</v>
      </c>
      <c r="K1099">
        <v>11</v>
      </c>
      <c r="L1099">
        <v>15</v>
      </c>
      <c r="M1099">
        <v>0.64</v>
      </c>
      <c r="N1099">
        <v>0</v>
      </c>
      <c r="O1099">
        <v>0.51</v>
      </c>
      <c r="P1099" t="s">
        <v>41</v>
      </c>
    </row>
    <row r="1100" spans="1:16" x14ac:dyDescent="0.35">
      <c r="A1100" t="s">
        <v>1126</v>
      </c>
      <c r="B1100">
        <v>1099</v>
      </c>
      <c r="C1100">
        <v>23</v>
      </c>
      <c r="D1100" t="s">
        <v>16</v>
      </c>
      <c r="E1100" t="s">
        <v>46</v>
      </c>
      <c r="F1100">
        <v>2.56</v>
      </c>
      <c r="G1100">
        <v>3</v>
      </c>
      <c r="H1100">
        <v>60.7</v>
      </c>
      <c r="I1100">
        <v>0.83</v>
      </c>
      <c r="J1100" t="s">
        <v>18</v>
      </c>
      <c r="K1100">
        <v>13</v>
      </c>
      <c r="L1100">
        <v>82</v>
      </c>
      <c r="M1100">
        <v>0.95</v>
      </c>
      <c r="N1100">
        <v>5</v>
      </c>
      <c r="O1100">
        <v>0.62</v>
      </c>
      <c r="P1100" t="s">
        <v>24</v>
      </c>
    </row>
    <row r="1101" spans="1:16" x14ac:dyDescent="0.35">
      <c r="A1101" t="s">
        <v>1127</v>
      </c>
      <c r="B1101">
        <v>1100</v>
      </c>
      <c r="C1101">
        <v>20</v>
      </c>
      <c r="D1101" t="s">
        <v>32</v>
      </c>
      <c r="E1101" t="s">
        <v>30</v>
      </c>
      <c r="F1101">
        <v>3.71</v>
      </c>
      <c r="G1101">
        <v>3</v>
      </c>
      <c r="H1101">
        <v>98.4</v>
      </c>
      <c r="I1101">
        <v>0.82</v>
      </c>
      <c r="J1101" t="s">
        <v>18</v>
      </c>
      <c r="K1101">
        <v>17</v>
      </c>
      <c r="L1101">
        <v>74</v>
      </c>
      <c r="M1101">
        <v>0.56999999999999995</v>
      </c>
      <c r="N1101">
        <v>10</v>
      </c>
      <c r="O1101">
        <v>0.88</v>
      </c>
      <c r="P1101" t="s">
        <v>24</v>
      </c>
    </row>
    <row r="1102" spans="1:16" x14ac:dyDescent="0.35">
      <c r="A1102" t="s">
        <v>1128</v>
      </c>
      <c r="B1102">
        <v>1101</v>
      </c>
      <c r="C1102">
        <v>20</v>
      </c>
      <c r="D1102" t="s">
        <v>32</v>
      </c>
      <c r="E1102" t="s">
        <v>30</v>
      </c>
      <c r="F1102">
        <v>3.86</v>
      </c>
      <c r="G1102">
        <v>5</v>
      </c>
      <c r="H1102">
        <v>61.8</v>
      </c>
      <c r="I1102">
        <v>0.86</v>
      </c>
      <c r="J1102" t="s">
        <v>23</v>
      </c>
      <c r="K1102">
        <v>26</v>
      </c>
      <c r="L1102">
        <v>85</v>
      </c>
      <c r="M1102">
        <v>0.83</v>
      </c>
      <c r="N1102">
        <v>12</v>
      </c>
      <c r="O1102">
        <v>0.79</v>
      </c>
      <c r="P1102" t="s">
        <v>41</v>
      </c>
    </row>
    <row r="1103" spans="1:16" x14ac:dyDescent="0.35">
      <c r="A1103" t="s">
        <v>1129</v>
      </c>
      <c r="B1103">
        <v>1102</v>
      </c>
      <c r="C1103">
        <v>19</v>
      </c>
      <c r="D1103" t="s">
        <v>16</v>
      </c>
      <c r="E1103" t="s">
        <v>17</v>
      </c>
      <c r="F1103">
        <v>3.99</v>
      </c>
      <c r="G1103">
        <v>5</v>
      </c>
      <c r="H1103">
        <v>65.7</v>
      </c>
      <c r="I1103">
        <v>0.7</v>
      </c>
      <c r="J1103" t="s">
        <v>23</v>
      </c>
      <c r="K1103">
        <v>27</v>
      </c>
      <c r="L1103">
        <v>67</v>
      </c>
      <c r="M1103">
        <v>0.77</v>
      </c>
      <c r="N1103">
        <v>19</v>
      </c>
      <c r="O1103">
        <v>0.89</v>
      </c>
      <c r="P1103" t="s">
        <v>19</v>
      </c>
    </row>
    <row r="1104" spans="1:16" x14ac:dyDescent="0.35">
      <c r="A1104" t="s">
        <v>1130</v>
      </c>
      <c r="B1104">
        <v>1103</v>
      </c>
      <c r="C1104">
        <v>21</v>
      </c>
      <c r="D1104" t="s">
        <v>16</v>
      </c>
      <c r="E1104" t="s">
        <v>30</v>
      </c>
      <c r="F1104">
        <v>3.59</v>
      </c>
      <c r="G1104">
        <v>3</v>
      </c>
      <c r="H1104">
        <v>60.6</v>
      </c>
      <c r="I1104">
        <v>0.63</v>
      </c>
      <c r="J1104" t="s">
        <v>18</v>
      </c>
      <c r="K1104">
        <v>17</v>
      </c>
      <c r="L1104">
        <v>87</v>
      </c>
      <c r="M1104">
        <v>0.75</v>
      </c>
      <c r="N1104">
        <v>0</v>
      </c>
      <c r="O1104">
        <v>0.87</v>
      </c>
      <c r="P1104" t="s">
        <v>19</v>
      </c>
    </row>
    <row r="1105" spans="1:16" x14ac:dyDescent="0.35">
      <c r="A1105" t="s">
        <v>1131</v>
      </c>
      <c r="B1105">
        <v>1104</v>
      </c>
      <c r="C1105">
        <v>18</v>
      </c>
      <c r="D1105" t="s">
        <v>32</v>
      </c>
      <c r="E1105" t="s">
        <v>46</v>
      </c>
      <c r="F1105">
        <v>3.51</v>
      </c>
      <c r="G1105">
        <v>5</v>
      </c>
      <c r="H1105">
        <v>82.7</v>
      </c>
      <c r="I1105">
        <v>0.65</v>
      </c>
      <c r="J1105" t="s">
        <v>28</v>
      </c>
      <c r="K1105">
        <v>15</v>
      </c>
      <c r="L1105">
        <v>15</v>
      </c>
      <c r="M1105">
        <v>0.66</v>
      </c>
      <c r="N1105">
        <v>10</v>
      </c>
      <c r="O1105">
        <v>0.53</v>
      </c>
      <c r="P1105" t="s">
        <v>19</v>
      </c>
    </row>
    <row r="1106" spans="1:16" x14ac:dyDescent="0.35">
      <c r="A1106" t="s">
        <v>1132</v>
      </c>
      <c r="B1106">
        <v>1105</v>
      </c>
      <c r="C1106">
        <v>23</v>
      </c>
      <c r="D1106" t="s">
        <v>32</v>
      </c>
      <c r="E1106" t="s">
        <v>30</v>
      </c>
      <c r="F1106">
        <v>2.4300000000000002</v>
      </c>
      <c r="G1106">
        <v>6</v>
      </c>
      <c r="H1106">
        <v>97.3</v>
      </c>
      <c r="I1106">
        <v>0.69</v>
      </c>
      <c r="J1106" t="s">
        <v>23</v>
      </c>
      <c r="K1106">
        <v>15</v>
      </c>
      <c r="L1106">
        <v>74</v>
      </c>
      <c r="M1106">
        <v>0.75</v>
      </c>
      <c r="N1106">
        <v>10</v>
      </c>
      <c r="O1106">
        <v>0.95</v>
      </c>
      <c r="P1106" t="s">
        <v>19</v>
      </c>
    </row>
    <row r="1107" spans="1:16" x14ac:dyDescent="0.35">
      <c r="A1107" t="s">
        <v>1133</v>
      </c>
      <c r="B1107">
        <v>1106</v>
      </c>
      <c r="C1107">
        <v>21</v>
      </c>
      <c r="D1107" t="s">
        <v>32</v>
      </c>
      <c r="E1107" t="s">
        <v>17</v>
      </c>
      <c r="F1107">
        <v>2.67</v>
      </c>
      <c r="G1107">
        <v>3</v>
      </c>
      <c r="H1107">
        <v>86.6</v>
      </c>
      <c r="I1107">
        <v>0.8</v>
      </c>
      <c r="J1107" t="s">
        <v>23</v>
      </c>
      <c r="K1107">
        <v>12</v>
      </c>
      <c r="L1107">
        <v>43</v>
      </c>
      <c r="M1107">
        <v>0.57999999999999996</v>
      </c>
      <c r="N1107">
        <v>7</v>
      </c>
      <c r="O1107">
        <v>0.61</v>
      </c>
      <c r="P1107" t="s">
        <v>24</v>
      </c>
    </row>
    <row r="1108" spans="1:16" x14ac:dyDescent="0.35">
      <c r="A1108" t="s">
        <v>1134</v>
      </c>
      <c r="B1108">
        <v>1107</v>
      </c>
      <c r="C1108">
        <v>22</v>
      </c>
      <c r="D1108" t="s">
        <v>32</v>
      </c>
      <c r="E1108" t="s">
        <v>17</v>
      </c>
      <c r="F1108">
        <v>2.93</v>
      </c>
      <c r="G1108">
        <v>6</v>
      </c>
      <c r="H1108">
        <v>92.9</v>
      </c>
      <c r="I1108">
        <v>0.94</v>
      </c>
      <c r="J1108" t="s">
        <v>23</v>
      </c>
      <c r="K1108">
        <v>28</v>
      </c>
      <c r="L1108">
        <v>65</v>
      </c>
      <c r="M1108">
        <v>0.68</v>
      </c>
      <c r="N1108">
        <v>2</v>
      </c>
      <c r="O1108">
        <v>0.78</v>
      </c>
      <c r="P1108" t="s">
        <v>24</v>
      </c>
    </row>
    <row r="1109" spans="1:16" x14ac:dyDescent="0.35">
      <c r="A1109" t="s">
        <v>1135</v>
      </c>
      <c r="B1109">
        <v>1108</v>
      </c>
      <c r="C1109">
        <v>23</v>
      </c>
      <c r="D1109" t="s">
        <v>32</v>
      </c>
      <c r="E1109" t="s">
        <v>46</v>
      </c>
      <c r="F1109">
        <v>3.55</v>
      </c>
      <c r="G1109">
        <v>6</v>
      </c>
      <c r="H1109">
        <v>60.5</v>
      </c>
      <c r="I1109">
        <v>0.88</v>
      </c>
      <c r="J1109" t="s">
        <v>28</v>
      </c>
      <c r="K1109">
        <v>8</v>
      </c>
      <c r="L1109">
        <v>84</v>
      </c>
      <c r="M1109">
        <v>0.55000000000000004</v>
      </c>
      <c r="N1109">
        <v>18</v>
      </c>
      <c r="O1109">
        <v>0.82</v>
      </c>
      <c r="P1109" t="s">
        <v>41</v>
      </c>
    </row>
    <row r="1110" spans="1:16" x14ac:dyDescent="0.35">
      <c r="A1110" t="s">
        <v>1136</v>
      </c>
      <c r="B1110">
        <v>1109</v>
      </c>
      <c r="C1110">
        <v>23</v>
      </c>
      <c r="D1110" t="s">
        <v>21</v>
      </c>
      <c r="E1110" t="s">
        <v>46</v>
      </c>
      <c r="F1110">
        <v>3.83</v>
      </c>
      <c r="G1110">
        <v>5</v>
      </c>
      <c r="H1110">
        <v>81.7</v>
      </c>
      <c r="I1110">
        <v>0.92</v>
      </c>
      <c r="J1110" t="s">
        <v>18</v>
      </c>
      <c r="K1110">
        <v>25</v>
      </c>
      <c r="L1110">
        <v>12</v>
      </c>
      <c r="M1110">
        <v>0.79</v>
      </c>
      <c r="N1110">
        <v>11</v>
      </c>
      <c r="O1110">
        <v>0.57999999999999996</v>
      </c>
      <c r="P1110" t="s">
        <v>41</v>
      </c>
    </row>
    <row r="1111" spans="1:16" x14ac:dyDescent="0.35">
      <c r="A1111" t="s">
        <v>1137</v>
      </c>
      <c r="B1111">
        <v>1110</v>
      </c>
      <c r="C1111">
        <v>20</v>
      </c>
      <c r="D1111" t="s">
        <v>16</v>
      </c>
      <c r="E1111" t="s">
        <v>30</v>
      </c>
      <c r="F1111">
        <v>2.38</v>
      </c>
      <c r="G1111">
        <v>6</v>
      </c>
      <c r="H1111">
        <v>78.400000000000006</v>
      </c>
      <c r="I1111">
        <v>0.74</v>
      </c>
      <c r="J1111" t="s">
        <v>23</v>
      </c>
      <c r="K1111">
        <v>27</v>
      </c>
      <c r="L1111">
        <v>51</v>
      </c>
      <c r="M1111">
        <v>0.55000000000000004</v>
      </c>
      <c r="N1111">
        <v>5</v>
      </c>
      <c r="O1111">
        <v>0.99</v>
      </c>
      <c r="P1111" t="s">
        <v>19</v>
      </c>
    </row>
    <row r="1112" spans="1:16" x14ac:dyDescent="0.35">
      <c r="A1112" t="s">
        <v>1138</v>
      </c>
      <c r="B1112">
        <v>1111</v>
      </c>
      <c r="C1112">
        <v>18</v>
      </c>
      <c r="D1112" t="s">
        <v>21</v>
      </c>
      <c r="E1112" t="s">
        <v>30</v>
      </c>
      <c r="F1112">
        <v>3.84</v>
      </c>
      <c r="G1112">
        <v>5</v>
      </c>
      <c r="H1112">
        <v>80</v>
      </c>
      <c r="I1112">
        <v>0.76</v>
      </c>
      <c r="J1112" t="s">
        <v>18</v>
      </c>
      <c r="K1112">
        <v>12</v>
      </c>
      <c r="L1112">
        <v>71</v>
      </c>
      <c r="M1112">
        <v>0.57999999999999996</v>
      </c>
      <c r="N1112">
        <v>7</v>
      </c>
      <c r="O1112">
        <v>0.74</v>
      </c>
      <c r="P1112" t="s">
        <v>24</v>
      </c>
    </row>
    <row r="1113" spans="1:16" x14ac:dyDescent="0.35">
      <c r="A1113" t="s">
        <v>1139</v>
      </c>
      <c r="B1113">
        <v>1112</v>
      </c>
      <c r="C1113">
        <v>18</v>
      </c>
      <c r="D1113" t="s">
        <v>32</v>
      </c>
      <c r="E1113" t="s">
        <v>17</v>
      </c>
      <c r="F1113">
        <v>3.39</v>
      </c>
      <c r="G1113">
        <v>4</v>
      </c>
      <c r="H1113">
        <v>62.9</v>
      </c>
      <c r="I1113">
        <v>0.76</v>
      </c>
      <c r="J1113" t="s">
        <v>18</v>
      </c>
      <c r="K1113">
        <v>35</v>
      </c>
      <c r="L1113">
        <v>15</v>
      </c>
      <c r="M1113">
        <v>0.54</v>
      </c>
      <c r="N1113">
        <v>4</v>
      </c>
      <c r="O1113">
        <v>0.53</v>
      </c>
      <c r="P1113" t="s">
        <v>24</v>
      </c>
    </row>
    <row r="1114" spans="1:16" x14ac:dyDescent="0.35">
      <c r="A1114" t="s">
        <v>1140</v>
      </c>
      <c r="B1114">
        <v>1113</v>
      </c>
      <c r="C1114">
        <v>25</v>
      </c>
      <c r="D1114" t="s">
        <v>32</v>
      </c>
      <c r="E1114" t="s">
        <v>46</v>
      </c>
      <c r="F1114">
        <v>3.22</v>
      </c>
      <c r="G1114">
        <v>5</v>
      </c>
      <c r="H1114">
        <v>87.4</v>
      </c>
      <c r="I1114">
        <v>0.68</v>
      </c>
      <c r="J1114" t="s">
        <v>28</v>
      </c>
      <c r="K1114">
        <v>8</v>
      </c>
      <c r="L1114">
        <v>15</v>
      </c>
      <c r="M1114">
        <v>0.69</v>
      </c>
      <c r="N1114">
        <v>9</v>
      </c>
      <c r="O1114">
        <v>0.97</v>
      </c>
      <c r="P1114" t="s">
        <v>19</v>
      </c>
    </row>
    <row r="1115" spans="1:16" x14ac:dyDescent="0.35">
      <c r="A1115" t="s">
        <v>1141</v>
      </c>
      <c r="B1115">
        <v>1114</v>
      </c>
      <c r="C1115">
        <v>24</v>
      </c>
      <c r="D1115" t="s">
        <v>32</v>
      </c>
      <c r="E1115" t="s">
        <v>46</v>
      </c>
      <c r="F1115">
        <v>2.4</v>
      </c>
      <c r="G1115">
        <v>6</v>
      </c>
      <c r="H1115">
        <v>80.099999999999994</v>
      </c>
      <c r="I1115">
        <v>0.62</v>
      </c>
      <c r="J1115" t="s">
        <v>28</v>
      </c>
      <c r="K1115">
        <v>13</v>
      </c>
      <c r="L1115">
        <v>72</v>
      </c>
      <c r="M1115">
        <v>0.92</v>
      </c>
      <c r="N1115">
        <v>15</v>
      </c>
      <c r="O1115">
        <v>0.79</v>
      </c>
      <c r="P1115" t="s">
        <v>19</v>
      </c>
    </row>
    <row r="1116" spans="1:16" x14ac:dyDescent="0.35">
      <c r="A1116" t="s">
        <v>1142</v>
      </c>
      <c r="B1116">
        <v>1115</v>
      </c>
      <c r="C1116">
        <v>24</v>
      </c>
      <c r="D1116" t="s">
        <v>21</v>
      </c>
      <c r="E1116" t="s">
        <v>46</v>
      </c>
      <c r="F1116">
        <v>2.11</v>
      </c>
      <c r="G1116">
        <v>4</v>
      </c>
      <c r="H1116">
        <v>90.6</v>
      </c>
      <c r="I1116">
        <v>0.84</v>
      </c>
      <c r="J1116" t="s">
        <v>28</v>
      </c>
      <c r="K1116">
        <v>11</v>
      </c>
      <c r="L1116">
        <v>29</v>
      </c>
      <c r="M1116">
        <v>0.95</v>
      </c>
      <c r="N1116">
        <v>11</v>
      </c>
      <c r="O1116">
        <v>0.85</v>
      </c>
      <c r="P1116" t="s">
        <v>19</v>
      </c>
    </row>
    <row r="1117" spans="1:16" x14ac:dyDescent="0.35">
      <c r="A1117" t="s">
        <v>1143</v>
      </c>
      <c r="B1117">
        <v>1116</v>
      </c>
      <c r="C1117">
        <v>24</v>
      </c>
      <c r="D1117" t="s">
        <v>21</v>
      </c>
      <c r="E1117" t="s">
        <v>30</v>
      </c>
      <c r="F1117">
        <v>3.14</v>
      </c>
      <c r="G1117">
        <v>5</v>
      </c>
      <c r="H1117">
        <v>79.400000000000006</v>
      </c>
      <c r="I1117">
        <v>1</v>
      </c>
      <c r="J1117" t="s">
        <v>28</v>
      </c>
      <c r="K1117">
        <v>31</v>
      </c>
      <c r="L1117">
        <v>30</v>
      </c>
      <c r="M1117">
        <v>0.54</v>
      </c>
      <c r="N1117">
        <v>16</v>
      </c>
      <c r="O1117">
        <v>0.76</v>
      </c>
      <c r="P1117" t="s">
        <v>41</v>
      </c>
    </row>
    <row r="1118" spans="1:16" x14ac:dyDescent="0.35">
      <c r="A1118" t="s">
        <v>1144</v>
      </c>
      <c r="B1118">
        <v>1117</v>
      </c>
      <c r="C1118">
        <v>24</v>
      </c>
      <c r="D1118" t="s">
        <v>32</v>
      </c>
      <c r="E1118" t="s">
        <v>46</v>
      </c>
      <c r="F1118">
        <v>3.3</v>
      </c>
      <c r="G1118">
        <v>6</v>
      </c>
      <c r="H1118">
        <v>66</v>
      </c>
      <c r="I1118">
        <v>0.67</v>
      </c>
      <c r="J1118" t="s">
        <v>28</v>
      </c>
      <c r="K1118">
        <v>37</v>
      </c>
      <c r="L1118">
        <v>11</v>
      </c>
      <c r="M1118">
        <v>0.82</v>
      </c>
      <c r="N1118">
        <v>5</v>
      </c>
      <c r="O1118">
        <v>0.92</v>
      </c>
      <c r="P1118" t="s">
        <v>19</v>
      </c>
    </row>
    <row r="1119" spans="1:16" x14ac:dyDescent="0.35">
      <c r="A1119" t="s">
        <v>1145</v>
      </c>
      <c r="B1119">
        <v>1118</v>
      </c>
      <c r="C1119">
        <v>22</v>
      </c>
      <c r="D1119" t="s">
        <v>21</v>
      </c>
      <c r="E1119" t="s">
        <v>17</v>
      </c>
      <c r="F1119">
        <v>2.42</v>
      </c>
      <c r="G1119">
        <v>3</v>
      </c>
      <c r="H1119">
        <v>85.9</v>
      </c>
      <c r="I1119">
        <v>0.62</v>
      </c>
      <c r="J1119" t="s">
        <v>28</v>
      </c>
      <c r="K1119">
        <v>2</v>
      </c>
      <c r="L1119">
        <v>65</v>
      </c>
      <c r="M1119">
        <v>0.84</v>
      </c>
      <c r="N1119">
        <v>8</v>
      </c>
      <c r="O1119">
        <v>0.52</v>
      </c>
      <c r="P1119" t="s">
        <v>19</v>
      </c>
    </row>
    <row r="1120" spans="1:16" x14ac:dyDescent="0.35">
      <c r="A1120" t="s">
        <v>1146</v>
      </c>
      <c r="B1120">
        <v>1119</v>
      </c>
      <c r="C1120">
        <v>22</v>
      </c>
      <c r="D1120" t="s">
        <v>21</v>
      </c>
      <c r="E1120" t="s">
        <v>17</v>
      </c>
      <c r="F1120">
        <v>3.11</v>
      </c>
      <c r="G1120">
        <v>3</v>
      </c>
      <c r="H1120">
        <v>66.900000000000006</v>
      </c>
      <c r="I1120">
        <v>0.91</v>
      </c>
      <c r="J1120" t="s">
        <v>23</v>
      </c>
      <c r="K1120">
        <v>15</v>
      </c>
      <c r="L1120">
        <v>19</v>
      </c>
      <c r="M1120">
        <v>0.77</v>
      </c>
      <c r="N1120">
        <v>9</v>
      </c>
      <c r="O1120">
        <v>0.63</v>
      </c>
      <c r="P1120" t="s">
        <v>41</v>
      </c>
    </row>
    <row r="1121" spans="1:16" x14ac:dyDescent="0.35">
      <c r="A1121" t="s">
        <v>1147</v>
      </c>
      <c r="B1121">
        <v>1120</v>
      </c>
      <c r="C1121">
        <v>23</v>
      </c>
      <c r="D1121" t="s">
        <v>32</v>
      </c>
      <c r="E1121" t="s">
        <v>30</v>
      </c>
      <c r="F1121">
        <v>3.71</v>
      </c>
      <c r="G1121">
        <v>5</v>
      </c>
      <c r="H1121">
        <v>94.9</v>
      </c>
      <c r="I1121">
        <v>0.7</v>
      </c>
      <c r="J1121" t="s">
        <v>18</v>
      </c>
      <c r="K1121">
        <v>19</v>
      </c>
      <c r="L1121">
        <v>79</v>
      </c>
      <c r="M1121">
        <v>0.83</v>
      </c>
      <c r="N1121">
        <v>19</v>
      </c>
      <c r="O1121">
        <v>0.73</v>
      </c>
      <c r="P1121" t="s">
        <v>19</v>
      </c>
    </row>
    <row r="1122" spans="1:16" x14ac:dyDescent="0.35">
      <c r="A1122" t="s">
        <v>1148</v>
      </c>
      <c r="B1122">
        <v>1121</v>
      </c>
      <c r="C1122">
        <v>19</v>
      </c>
      <c r="D1122" t="s">
        <v>21</v>
      </c>
      <c r="E1122" t="s">
        <v>22</v>
      </c>
      <c r="F1122">
        <v>3.67</v>
      </c>
      <c r="G1122">
        <v>5</v>
      </c>
      <c r="H1122">
        <v>84.5</v>
      </c>
      <c r="I1122">
        <v>0.93</v>
      </c>
      <c r="J1122" t="s">
        <v>28</v>
      </c>
      <c r="K1122">
        <v>31</v>
      </c>
      <c r="L1122">
        <v>32</v>
      </c>
      <c r="M1122">
        <v>0.62</v>
      </c>
      <c r="N1122">
        <v>13</v>
      </c>
      <c r="O1122">
        <v>0.54</v>
      </c>
      <c r="P1122" t="s">
        <v>41</v>
      </c>
    </row>
    <row r="1123" spans="1:16" x14ac:dyDescent="0.35">
      <c r="A1123" t="s">
        <v>1149</v>
      </c>
      <c r="B1123">
        <v>1122</v>
      </c>
      <c r="C1123">
        <v>20</v>
      </c>
      <c r="D1123" t="s">
        <v>16</v>
      </c>
      <c r="E1123" t="s">
        <v>30</v>
      </c>
      <c r="F1123">
        <v>3.85</v>
      </c>
      <c r="G1123">
        <v>3</v>
      </c>
      <c r="H1123">
        <v>66.3</v>
      </c>
      <c r="I1123">
        <v>0.88</v>
      </c>
      <c r="J1123" t="s">
        <v>23</v>
      </c>
      <c r="K1123">
        <v>22</v>
      </c>
      <c r="L1123">
        <v>39</v>
      </c>
      <c r="M1123">
        <v>0.74</v>
      </c>
      <c r="N1123">
        <v>13</v>
      </c>
      <c r="O1123">
        <v>0.85</v>
      </c>
      <c r="P1123" t="s">
        <v>41</v>
      </c>
    </row>
    <row r="1124" spans="1:16" x14ac:dyDescent="0.35">
      <c r="A1124" t="s">
        <v>1150</v>
      </c>
      <c r="B1124">
        <v>1123</v>
      </c>
      <c r="C1124">
        <v>20</v>
      </c>
      <c r="D1124" t="s">
        <v>16</v>
      </c>
      <c r="E1124" t="s">
        <v>22</v>
      </c>
      <c r="F1124">
        <v>2.73</v>
      </c>
      <c r="G1124">
        <v>6</v>
      </c>
      <c r="H1124">
        <v>98.5</v>
      </c>
      <c r="I1124">
        <v>0.98</v>
      </c>
      <c r="J1124" t="s">
        <v>18</v>
      </c>
      <c r="K1124">
        <v>16</v>
      </c>
      <c r="L1124">
        <v>87</v>
      </c>
      <c r="M1124">
        <v>0.7</v>
      </c>
      <c r="N1124">
        <v>16</v>
      </c>
      <c r="O1124">
        <v>0.7</v>
      </c>
      <c r="P1124" t="s">
        <v>24</v>
      </c>
    </row>
    <row r="1125" spans="1:16" x14ac:dyDescent="0.35">
      <c r="A1125" t="s">
        <v>1151</v>
      </c>
      <c r="B1125">
        <v>1124</v>
      </c>
      <c r="C1125">
        <v>24</v>
      </c>
      <c r="D1125" t="s">
        <v>16</v>
      </c>
      <c r="E1125" t="s">
        <v>46</v>
      </c>
      <c r="F1125">
        <v>2.64</v>
      </c>
      <c r="G1125">
        <v>6</v>
      </c>
      <c r="H1125">
        <v>80.7</v>
      </c>
      <c r="I1125">
        <v>0.76</v>
      </c>
      <c r="J1125" t="s">
        <v>28</v>
      </c>
      <c r="K1125">
        <v>15</v>
      </c>
      <c r="L1125">
        <v>46</v>
      </c>
      <c r="M1125">
        <v>0.54</v>
      </c>
      <c r="N1125">
        <v>15</v>
      </c>
      <c r="O1125">
        <v>0.64</v>
      </c>
      <c r="P1125" t="s">
        <v>24</v>
      </c>
    </row>
    <row r="1126" spans="1:16" x14ac:dyDescent="0.35">
      <c r="A1126" t="s">
        <v>1152</v>
      </c>
      <c r="B1126">
        <v>1125</v>
      </c>
      <c r="C1126">
        <v>23</v>
      </c>
      <c r="D1126" t="s">
        <v>16</v>
      </c>
      <c r="E1126" t="s">
        <v>30</v>
      </c>
      <c r="F1126">
        <v>3.5</v>
      </c>
      <c r="G1126">
        <v>6</v>
      </c>
      <c r="H1126">
        <v>62.9</v>
      </c>
      <c r="I1126">
        <v>0.86</v>
      </c>
      <c r="J1126" t="s">
        <v>28</v>
      </c>
      <c r="K1126">
        <v>37</v>
      </c>
      <c r="L1126">
        <v>64</v>
      </c>
      <c r="M1126">
        <v>0.81</v>
      </c>
      <c r="N1126">
        <v>3</v>
      </c>
      <c r="O1126">
        <v>0.5</v>
      </c>
      <c r="P1126" t="s">
        <v>41</v>
      </c>
    </row>
    <row r="1127" spans="1:16" x14ac:dyDescent="0.35">
      <c r="A1127" t="s">
        <v>1153</v>
      </c>
      <c r="B1127">
        <v>1126</v>
      </c>
      <c r="C1127">
        <v>25</v>
      </c>
      <c r="D1127" t="s">
        <v>32</v>
      </c>
      <c r="E1127" t="s">
        <v>17</v>
      </c>
      <c r="F1127">
        <v>2.86</v>
      </c>
      <c r="G1127">
        <v>5</v>
      </c>
      <c r="H1127">
        <v>85.1</v>
      </c>
      <c r="I1127">
        <v>0.79</v>
      </c>
      <c r="J1127" t="s">
        <v>23</v>
      </c>
      <c r="K1127">
        <v>7</v>
      </c>
      <c r="L1127">
        <v>58</v>
      </c>
      <c r="M1127">
        <v>0.75</v>
      </c>
      <c r="N1127">
        <v>1</v>
      </c>
      <c r="O1127">
        <v>0.86</v>
      </c>
      <c r="P1127" t="s">
        <v>24</v>
      </c>
    </row>
    <row r="1128" spans="1:16" x14ac:dyDescent="0.35">
      <c r="A1128" t="s">
        <v>1154</v>
      </c>
      <c r="B1128">
        <v>1127</v>
      </c>
      <c r="C1128">
        <v>21</v>
      </c>
      <c r="D1128" t="s">
        <v>32</v>
      </c>
      <c r="E1128" t="s">
        <v>46</v>
      </c>
      <c r="F1128">
        <v>2.1800000000000002</v>
      </c>
      <c r="G1128">
        <v>4</v>
      </c>
      <c r="H1128">
        <v>70.099999999999994</v>
      </c>
      <c r="I1128">
        <v>0.85</v>
      </c>
      <c r="J1128" t="s">
        <v>18</v>
      </c>
      <c r="K1128">
        <v>18</v>
      </c>
      <c r="L1128">
        <v>43</v>
      </c>
      <c r="M1128">
        <v>0.64</v>
      </c>
      <c r="N1128">
        <v>15</v>
      </c>
      <c r="O1128">
        <v>0.92</v>
      </c>
      <c r="P1128" t="s">
        <v>19</v>
      </c>
    </row>
    <row r="1129" spans="1:16" x14ac:dyDescent="0.35">
      <c r="A1129" t="s">
        <v>1155</v>
      </c>
      <c r="B1129">
        <v>1128</v>
      </c>
      <c r="C1129">
        <v>19</v>
      </c>
      <c r="D1129" t="s">
        <v>32</v>
      </c>
      <c r="E1129" t="s">
        <v>17</v>
      </c>
      <c r="F1129">
        <v>2.57</v>
      </c>
      <c r="G1129">
        <v>4</v>
      </c>
      <c r="H1129">
        <v>92.1</v>
      </c>
      <c r="I1129">
        <v>0.78</v>
      </c>
      <c r="J1129" t="s">
        <v>28</v>
      </c>
      <c r="K1129">
        <v>29</v>
      </c>
      <c r="L1129">
        <v>53</v>
      </c>
      <c r="M1129">
        <v>0.74</v>
      </c>
      <c r="N1129">
        <v>0</v>
      </c>
      <c r="O1129">
        <v>0.7</v>
      </c>
      <c r="P1129" t="s">
        <v>24</v>
      </c>
    </row>
    <row r="1130" spans="1:16" x14ac:dyDescent="0.35">
      <c r="A1130" t="s">
        <v>1156</v>
      </c>
      <c r="B1130">
        <v>1129</v>
      </c>
      <c r="C1130">
        <v>23</v>
      </c>
      <c r="D1130" t="s">
        <v>16</v>
      </c>
      <c r="E1130" t="s">
        <v>46</v>
      </c>
      <c r="F1130">
        <v>2.84</v>
      </c>
      <c r="G1130">
        <v>4</v>
      </c>
      <c r="H1130">
        <v>92.7</v>
      </c>
      <c r="I1130">
        <v>0.68</v>
      </c>
      <c r="J1130" t="s">
        <v>18</v>
      </c>
      <c r="K1130">
        <v>33</v>
      </c>
      <c r="L1130">
        <v>31</v>
      </c>
      <c r="M1130">
        <v>0.89</v>
      </c>
      <c r="N1130">
        <v>2</v>
      </c>
      <c r="O1130">
        <v>0.78</v>
      </c>
      <c r="P1130" t="s">
        <v>19</v>
      </c>
    </row>
    <row r="1131" spans="1:16" x14ac:dyDescent="0.35">
      <c r="A1131" t="s">
        <v>1157</v>
      </c>
      <c r="B1131">
        <v>1130</v>
      </c>
      <c r="C1131">
        <v>19</v>
      </c>
      <c r="D1131" t="s">
        <v>16</v>
      </c>
      <c r="E1131" t="s">
        <v>30</v>
      </c>
      <c r="F1131">
        <v>2.59</v>
      </c>
      <c r="G1131">
        <v>4</v>
      </c>
      <c r="H1131">
        <v>99.2</v>
      </c>
      <c r="I1131">
        <v>0.8</v>
      </c>
      <c r="J1131" t="s">
        <v>23</v>
      </c>
      <c r="K1131">
        <v>13</v>
      </c>
      <c r="L1131">
        <v>40</v>
      </c>
      <c r="M1131">
        <v>0.9</v>
      </c>
      <c r="N1131">
        <v>10</v>
      </c>
      <c r="O1131">
        <v>0.61</v>
      </c>
      <c r="P1131" t="s">
        <v>24</v>
      </c>
    </row>
    <row r="1132" spans="1:16" x14ac:dyDescent="0.35">
      <c r="A1132" t="s">
        <v>1158</v>
      </c>
      <c r="B1132">
        <v>1131</v>
      </c>
      <c r="C1132">
        <v>19</v>
      </c>
      <c r="D1132" t="s">
        <v>21</v>
      </c>
      <c r="E1132" t="s">
        <v>22</v>
      </c>
      <c r="F1132">
        <v>2.66</v>
      </c>
      <c r="G1132">
        <v>4</v>
      </c>
      <c r="H1132">
        <v>80.099999999999994</v>
      </c>
      <c r="I1132">
        <v>0.81</v>
      </c>
      <c r="J1132" t="s">
        <v>28</v>
      </c>
      <c r="K1132">
        <v>21</v>
      </c>
      <c r="L1132">
        <v>16</v>
      </c>
      <c r="M1132">
        <v>0.82</v>
      </c>
      <c r="N1132">
        <v>15</v>
      </c>
      <c r="O1132">
        <v>0.81</v>
      </c>
      <c r="P1132" t="s">
        <v>24</v>
      </c>
    </row>
    <row r="1133" spans="1:16" x14ac:dyDescent="0.35">
      <c r="A1133" t="s">
        <v>1159</v>
      </c>
      <c r="B1133">
        <v>1132</v>
      </c>
      <c r="C1133">
        <v>19</v>
      </c>
      <c r="D1133" t="s">
        <v>21</v>
      </c>
      <c r="E1133" t="s">
        <v>46</v>
      </c>
      <c r="F1133">
        <v>2.59</v>
      </c>
      <c r="G1133">
        <v>5</v>
      </c>
      <c r="H1133">
        <v>78.2</v>
      </c>
      <c r="I1133">
        <v>0.92</v>
      </c>
      <c r="J1133" t="s">
        <v>18</v>
      </c>
      <c r="K1133">
        <v>16</v>
      </c>
      <c r="L1133">
        <v>30</v>
      </c>
      <c r="M1133">
        <v>0.73</v>
      </c>
      <c r="N1133">
        <v>17</v>
      </c>
      <c r="O1133">
        <v>0.51</v>
      </c>
      <c r="P1133" t="s">
        <v>24</v>
      </c>
    </row>
    <row r="1134" spans="1:16" x14ac:dyDescent="0.35">
      <c r="A1134" t="s">
        <v>1160</v>
      </c>
      <c r="B1134">
        <v>1133</v>
      </c>
      <c r="C1134">
        <v>23</v>
      </c>
      <c r="D1134" t="s">
        <v>16</v>
      </c>
      <c r="E1134" t="s">
        <v>22</v>
      </c>
      <c r="F1134">
        <v>2.08</v>
      </c>
      <c r="G1134">
        <v>5</v>
      </c>
      <c r="H1134">
        <v>90.1</v>
      </c>
      <c r="I1134">
        <v>0.89</v>
      </c>
      <c r="J1134" t="s">
        <v>23</v>
      </c>
      <c r="K1134">
        <v>14</v>
      </c>
      <c r="L1134">
        <v>25</v>
      </c>
      <c r="M1134">
        <v>0.79</v>
      </c>
      <c r="N1134">
        <v>14</v>
      </c>
      <c r="O1134">
        <v>0.74</v>
      </c>
      <c r="P1134" t="s">
        <v>19</v>
      </c>
    </row>
    <row r="1135" spans="1:16" x14ac:dyDescent="0.35">
      <c r="A1135" t="s">
        <v>1161</v>
      </c>
      <c r="B1135">
        <v>1134</v>
      </c>
      <c r="C1135">
        <v>24</v>
      </c>
      <c r="D1135" t="s">
        <v>16</v>
      </c>
      <c r="E1135" t="s">
        <v>46</v>
      </c>
      <c r="F1135">
        <v>3.27</v>
      </c>
      <c r="G1135">
        <v>4</v>
      </c>
      <c r="H1135">
        <v>65.3</v>
      </c>
      <c r="I1135">
        <v>0.87</v>
      </c>
      <c r="J1135" t="s">
        <v>23</v>
      </c>
      <c r="K1135">
        <v>31</v>
      </c>
      <c r="L1135">
        <v>29</v>
      </c>
      <c r="M1135">
        <v>0.69</v>
      </c>
      <c r="N1135">
        <v>8</v>
      </c>
      <c r="O1135">
        <v>0.82</v>
      </c>
      <c r="P1135" t="s">
        <v>41</v>
      </c>
    </row>
    <row r="1136" spans="1:16" x14ac:dyDescent="0.35">
      <c r="A1136" t="s">
        <v>1162</v>
      </c>
      <c r="B1136">
        <v>1135</v>
      </c>
      <c r="C1136">
        <v>20</v>
      </c>
      <c r="D1136" t="s">
        <v>16</v>
      </c>
      <c r="E1136" t="s">
        <v>17</v>
      </c>
      <c r="F1136">
        <v>3.19</v>
      </c>
      <c r="G1136">
        <v>5</v>
      </c>
      <c r="H1136">
        <v>81.900000000000006</v>
      </c>
      <c r="I1136">
        <v>0.65</v>
      </c>
      <c r="J1136" t="s">
        <v>28</v>
      </c>
      <c r="K1136">
        <v>12</v>
      </c>
      <c r="L1136">
        <v>52</v>
      </c>
      <c r="M1136">
        <v>0.56000000000000005</v>
      </c>
      <c r="N1136">
        <v>11</v>
      </c>
      <c r="O1136">
        <v>0.96</v>
      </c>
      <c r="P1136" t="s">
        <v>19</v>
      </c>
    </row>
    <row r="1137" spans="1:16" x14ac:dyDescent="0.35">
      <c r="A1137" t="s">
        <v>1163</v>
      </c>
      <c r="B1137">
        <v>1136</v>
      </c>
      <c r="C1137">
        <v>20</v>
      </c>
      <c r="D1137" t="s">
        <v>16</v>
      </c>
      <c r="E1137" t="s">
        <v>17</v>
      </c>
      <c r="F1137">
        <v>3.31</v>
      </c>
      <c r="G1137">
        <v>5</v>
      </c>
      <c r="H1137">
        <v>81.8</v>
      </c>
      <c r="I1137">
        <v>0.89</v>
      </c>
      <c r="J1137" t="s">
        <v>18</v>
      </c>
      <c r="K1137">
        <v>20</v>
      </c>
      <c r="L1137">
        <v>53</v>
      </c>
      <c r="M1137">
        <v>0.69</v>
      </c>
      <c r="N1137">
        <v>17</v>
      </c>
      <c r="O1137">
        <v>0.69</v>
      </c>
      <c r="P1137" t="s">
        <v>41</v>
      </c>
    </row>
    <row r="1138" spans="1:16" x14ac:dyDescent="0.35">
      <c r="A1138" t="s">
        <v>1164</v>
      </c>
      <c r="B1138">
        <v>1137</v>
      </c>
      <c r="C1138">
        <v>24</v>
      </c>
      <c r="D1138" t="s">
        <v>21</v>
      </c>
      <c r="E1138" t="s">
        <v>46</v>
      </c>
      <c r="F1138">
        <v>2.38</v>
      </c>
      <c r="G1138">
        <v>4</v>
      </c>
      <c r="H1138">
        <v>63.6</v>
      </c>
      <c r="I1138">
        <v>0.8</v>
      </c>
      <c r="J1138" t="s">
        <v>28</v>
      </c>
      <c r="K1138">
        <v>39</v>
      </c>
      <c r="L1138">
        <v>56</v>
      </c>
      <c r="M1138">
        <v>0.77</v>
      </c>
      <c r="N1138">
        <v>4</v>
      </c>
      <c r="O1138">
        <v>0.88</v>
      </c>
      <c r="P1138" t="s">
        <v>19</v>
      </c>
    </row>
    <row r="1139" spans="1:16" x14ac:dyDescent="0.35">
      <c r="A1139" t="s">
        <v>1165</v>
      </c>
      <c r="B1139">
        <v>1138</v>
      </c>
      <c r="C1139">
        <v>19</v>
      </c>
      <c r="D1139" t="s">
        <v>16</v>
      </c>
      <c r="E1139" t="s">
        <v>22</v>
      </c>
      <c r="F1139">
        <v>2.59</v>
      </c>
      <c r="G1139">
        <v>6</v>
      </c>
      <c r="H1139">
        <v>76.7</v>
      </c>
      <c r="I1139">
        <v>0.96</v>
      </c>
      <c r="J1139" t="s">
        <v>28</v>
      </c>
      <c r="K1139">
        <v>32</v>
      </c>
      <c r="L1139">
        <v>28</v>
      </c>
      <c r="M1139">
        <v>0.8</v>
      </c>
      <c r="N1139">
        <v>7</v>
      </c>
      <c r="O1139">
        <v>0.8</v>
      </c>
      <c r="P1139" t="s">
        <v>24</v>
      </c>
    </row>
    <row r="1140" spans="1:16" x14ac:dyDescent="0.35">
      <c r="A1140" t="s">
        <v>1166</v>
      </c>
      <c r="B1140">
        <v>1139</v>
      </c>
      <c r="C1140">
        <v>21</v>
      </c>
      <c r="D1140" t="s">
        <v>21</v>
      </c>
      <c r="E1140" t="s">
        <v>30</v>
      </c>
      <c r="F1140">
        <v>3.24</v>
      </c>
      <c r="G1140">
        <v>5</v>
      </c>
      <c r="H1140">
        <v>94.1</v>
      </c>
      <c r="I1140">
        <v>0.97</v>
      </c>
      <c r="J1140" t="s">
        <v>18</v>
      </c>
      <c r="K1140">
        <v>26</v>
      </c>
      <c r="L1140">
        <v>57</v>
      </c>
      <c r="M1140">
        <v>0.97</v>
      </c>
      <c r="N1140">
        <v>2</v>
      </c>
      <c r="O1140">
        <v>0.96</v>
      </c>
      <c r="P1140" t="s">
        <v>41</v>
      </c>
    </row>
    <row r="1141" spans="1:16" x14ac:dyDescent="0.35">
      <c r="A1141" t="s">
        <v>1167</v>
      </c>
      <c r="B1141">
        <v>1140</v>
      </c>
      <c r="C1141">
        <v>18</v>
      </c>
      <c r="D1141" t="s">
        <v>16</v>
      </c>
      <c r="E1141" t="s">
        <v>30</v>
      </c>
      <c r="F1141">
        <v>3.2</v>
      </c>
      <c r="G1141">
        <v>6</v>
      </c>
      <c r="H1141">
        <v>94.2</v>
      </c>
      <c r="I1141">
        <v>0.62</v>
      </c>
      <c r="J1141" t="s">
        <v>18</v>
      </c>
      <c r="K1141">
        <v>34</v>
      </c>
      <c r="L1141">
        <v>88</v>
      </c>
      <c r="M1141">
        <v>0.89</v>
      </c>
      <c r="N1141">
        <v>1</v>
      </c>
      <c r="O1141">
        <v>0.7</v>
      </c>
      <c r="P1141" t="s">
        <v>19</v>
      </c>
    </row>
    <row r="1142" spans="1:16" x14ac:dyDescent="0.35">
      <c r="A1142" t="s">
        <v>1168</v>
      </c>
      <c r="B1142">
        <v>1141</v>
      </c>
      <c r="C1142">
        <v>23</v>
      </c>
      <c r="D1142" t="s">
        <v>16</v>
      </c>
      <c r="E1142" t="s">
        <v>17</v>
      </c>
      <c r="F1142">
        <v>3.01</v>
      </c>
      <c r="G1142">
        <v>5</v>
      </c>
      <c r="H1142">
        <v>64</v>
      </c>
      <c r="I1142">
        <v>0.93</v>
      </c>
      <c r="J1142" t="s">
        <v>18</v>
      </c>
      <c r="K1142">
        <v>15</v>
      </c>
      <c r="L1142">
        <v>78</v>
      </c>
      <c r="M1142">
        <v>0.57999999999999996</v>
      </c>
      <c r="N1142">
        <v>18</v>
      </c>
      <c r="O1142">
        <v>0.66</v>
      </c>
      <c r="P1142" t="s">
        <v>41</v>
      </c>
    </row>
    <row r="1143" spans="1:16" x14ac:dyDescent="0.35">
      <c r="A1143" t="s">
        <v>1169</v>
      </c>
      <c r="B1143">
        <v>1142</v>
      </c>
      <c r="C1143">
        <v>18</v>
      </c>
      <c r="D1143" t="s">
        <v>16</v>
      </c>
      <c r="E1143" t="s">
        <v>30</v>
      </c>
      <c r="F1143">
        <v>2.7</v>
      </c>
      <c r="G1143">
        <v>5</v>
      </c>
      <c r="H1143">
        <v>63.6</v>
      </c>
      <c r="I1143">
        <v>0.62</v>
      </c>
      <c r="J1143" t="s">
        <v>23</v>
      </c>
      <c r="K1143">
        <v>27</v>
      </c>
      <c r="L1143">
        <v>20</v>
      </c>
      <c r="M1143">
        <v>0.59</v>
      </c>
      <c r="N1143">
        <v>7</v>
      </c>
      <c r="O1143">
        <v>0.94</v>
      </c>
      <c r="P1143" t="s">
        <v>19</v>
      </c>
    </row>
    <row r="1144" spans="1:16" x14ac:dyDescent="0.35">
      <c r="A1144" t="s">
        <v>1170</v>
      </c>
      <c r="B1144">
        <v>1143</v>
      </c>
      <c r="C1144">
        <v>25</v>
      </c>
      <c r="D1144" t="s">
        <v>21</v>
      </c>
      <c r="E1144" t="s">
        <v>17</v>
      </c>
      <c r="F1144">
        <v>3.83</v>
      </c>
      <c r="G1144">
        <v>4</v>
      </c>
      <c r="H1144">
        <v>70.5</v>
      </c>
      <c r="I1144">
        <v>0.75</v>
      </c>
      <c r="J1144" t="s">
        <v>23</v>
      </c>
      <c r="K1144">
        <v>33</v>
      </c>
      <c r="L1144">
        <v>88</v>
      </c>
      <c r="M1144">
        <v>0.55000000000000004</v>
      </c>
      <c r="N1144">
        <v>1</v>
      </c>
      <c r="O1144">
        <v>0.52</v>
      </c>
      <c r="P1144" t="s">
        <v>24</v>
      </c>
    </row>
    <row r="1145" spans="1:16" x14ac:dyDescent="0.35">
      <c r="A1145" t="s">
        <v>1171</v>
      </c>
      <c r="B1145">
        <v>1144</v>
      </c>
      <c r="C1145">
        <v>24</v>
      </c>
      <c r="D1145" t="s">
        <v>21</v>
      </c>
      <c r="E1145" t="s">
        <v>30</v>
      </c>
      <c r="F1145">
        <v>2.68</v>
      </c>
      <c r="G1145">
        <v>5</v>
      </c>
      <c r="H1145">
        <v>95</v>
      </c>
      <c r="I1145">
        <v>0.82</v>
      </c>
      <c r="J1145" t="s">
        <v>18</v>
      </c>
      <c r="K1145">
        <v>0</v>
      </c>
      <c r="L1145">
        <v>38</v>
      </c>
      <c r="M1145">
        <v>0.87</v>
      </c>
      <c r="N1145">
        <v>18</v>
      </c>
      <c r="O1145">
        <v>0.56999999999999995</v>
      </c>
      <c r="P1145" t="s">
        <v>24</v>
      </c>
    </row>
    <row r="1146" spans="1:16" x14ac:dyDescent="0.35">
      <c r="A1146" t="s">
        <v>1172</v>
      </c>
      <c r="B1146">
        <v>1145</v>
      </c>
      <c r="C1146">
        <v>21</v>
      </c>
      <c r="D1146" t="s">
        <v>32</v>
      </c>
      <c r="E1146" t="s">
        <v>46</v>
      </c>
      <c r="F1146">
        <v>2.91</v>
      </c>
      <c r="G1146">
        <v>3</v>
      </c>
      <c r="H1146">
        <v>65.2</v>
      </c>
      <c r="I1146">
        <v>0.66</v>
      </c>
      <c r="J1146" t="s">
        <v>23</v>
      </c>
      <c r="K1146">
        <v>30</v>
      </c>
      <c r="L1146">
        <v>54</v>
      </c>
      <c r="M1146">
        <v>0.85</v>
      </c>
      <c r="N1146">
        <v>0</v>
      </c>
      <c r="O1146">
        <v>0.54</v>
      </c>
      <c r="P1146" t="s">
        <v>19</v>
      </c>
    </row>
    <row r="1147" spans="1:16" x14ac:dyDescent="0.35">
      <c r="A1147" t="s">
        <v>1173</v>
      </c>
      <c r="B1147">
        <v>1146</v>
      </c>
      <c r="C1147">
        <v>23</v>
      </c>
      <c r="D1147" t="s">
        <v>16</v>
      </c>
      <c r="E1147" t="s">
        <v>17</v>
      </c>
      <c r="F1147">
        <v>3.36</v>
      </c>
      <c r="G1147">
        <v>3</v>
      </c>
      <c r="H1147">
        <v>88.8</v>
      </c>
      <c r="I1147">
        <v>0.9</v>
      </c>
      <c r="J1147" t="s">
        <v>28</v>
      </c>
      <c r="K1147">
        <v>35</v>
      </c>
      <c r="L1147">
        <v>77</v>
      </c>
      <c r="M1147">
        <v>0.99</v>
      </c>
      <c r="N1147">
        <v>12</v>
      </c>
      <c r="O1147">
        <v>0.92</v>
      </c>
      <c r="P1147" t="s">
        <v>41</v>
      </c>
    </row>
    <row r="1148" spans="1:16" x14ac:dyDescent="0.35">
      <c r="A1148" t="s">
        <v>1174</v>
      </c>
      <c r="B1148">
        <v>1147</v>
      </c>
      <c r="C1148">
        <v>24</v>
      </c>
      <c r="D1148" t="s">
        <v>32</v>
      </c>
      <c r="E1148" t="s">
        <v>17</v>
      </c>
      <c r="F1148">
        <v>3.09</v>
      </c>
      <c r="G1148">
        <v>4</v>
      </c>
      <c r="H1148">
        <v>64</v>
      </c>
      <c r="I1148">
        <v>0.6</v>
      </c>
      <c r="J1148" t="s">
        <v>18</v>
      </c>
      <c r="K1148">
        <v>32</v>
      </c>
      <c r="L1148">
        <v>45</v>
      </c>
      <c r="M1148">
        <v>0.76</v>
      </c>
      <c r="N1148">
        <v>19</v>
      </c>
      <c r="O1148">
        <v>0.51</v>
      </c>
      <c r="P1148" t="s">
        <v>19</v>
      </c>
    </row>
    <row r="1149" spans="1:16" x14ac:dyDescent="0.35">
      <c r="A1149" t="s">
        <v>1175</v>
      </c>
      <c r="B1149">
        <v>1148</v>
      </c>
      <c r="C1149">
        <v>19</v>
      </c>
      <c r="D1149" t="s">
        <v>32</v>
      </c>
      <c r="E1149" t="s">
        <v>46</v>
      </c>
      <c r="F1149">
        <v>2.69</v>
      </c>
      <c r="G1149">
        <v>6</v>
      </c>
      <c r="H1149">
        <v>84.9</v>
      </c>
      <c r="I1149">
        <v>0.67</v>
      </c>
      <c r="J1149" t="s">
        <v>28</v>
      </c>
      <c r="K1149">
        <v>32</v>
      </c>
      <c r="L1149">
        <v>57</v>
      </c>
      <c r="M1149">
        <v>0.91</v>
      </c>
      <c r="N1149">
        <v>16</v>
      </c>
      <c r="O1149">
        <v>0.93</v>
      </c>
      <c r="P1149" t="s">
        <v>19</v>
      </c>
    </row>
    <row r="1150" spans="1:16" x14ac:dyDescent="0.35">
      <c r="A1150" t="s">
        <v>1176</v>
      </c>
      <c r="B1150">
        <v>1149</v>
      </c>
      <c r="C1150">
        <v>20</v>
      </c>
      <c r="D1150" t="s">
        <v>21</v>
      </c>
      <c r="E1150" t="s">
        <v>17</v>
      </c>
      <c r="F1150">
        <v>2.87</v>
      </c>
      <c r="G1150">
        <v>6</v>
      </c>
      <c r="H1150">
        <v>74.2</v>
      </c>
      <c r="I1150">
        <v>0.83</v>
      </c>
      <c r="J1150" t="s">
        <v>18</v>
      </c>
      <c r="K1150">
        <v>38</v>
      </c>
      <c r="L1150">
        <v>24</v>
      </c>
      <c r="M1150">
        <v>0.79</v>
      </c>
      <c r="N1150">
        <v>2</v>
      </c>
      <c r="O1150">
        <v>0.73</v>
      </c>
      <c r="P1150" t="s">
        <v>24</v>
      </c>
    </row>
    <row r="1151" spans="1:16" x14ac:dyDescent="0.35">
      <c r="A1151" t="s">
        <v>1177</v>
      </c>
      <c r="B1151">
        <v>1150</v>
      </c>
      <c r="C1151">
        <v>18</v>
      </c>
      <c r="D1151" t="s">
        <v>21</v>
      </c>
      <c r="E1151" t="s">
        <v>30</v>
      </c>
      <c r="F1151">
        <v>3.59</v>
      </c>
      <c r="G1151">
        <v>6</v>
      </c>
      <c r="H1151">
        <v>91.6</v>
      </c>
      <c r="I1151">
        <v>0.89</v>
      </c>
      <c r="J1151" t="s">
        <v>28</v>
      </c>
      <c r="K1151">
        <v>17</v>
      </c>
      <c r="L1151">
        <v>53</v>
      </c>
      <c r="M1151">
        <v>0.94</v>
      </c>
      <c r="N1151">
        <v>8</v>
      </c>
      <c r="O1151">
        <v>0.5</v>
      </c>
      <c r="P1151" t="s">
        <v>41</v>
      </c>
    </row>
    <row r="1152" spans="1:16" x14ac:dyDescent="0.35">
      <c r="A1152" t="s">
        <v>1178</v>
      </c>
      <c r="B1152">
        <v>1151</v>
      </c>
      <c r="C1152">
        <v>22</v>
      </c>
      <c r="D1152" t="s">
        <v>32</v>
      </c>
      <c r="E1152" t="s">
        <v>30</v>
      </c>
      <c r="F1152">
        <v>2.56</v>
      </c>
      <c r="G1152">
        <v>3</v>
      </c>
      <c r="H1152">
        <v>69.3</v>
      </c>
      <c r="I1152">
        <v>0.97</v>
      </c>
      <c r="J1152" t="s">
        <v>18</v>
      </c>
      <c r="K1152">
        <v>22</v>
      </c>
      <c r="L1152">
        <v>76</v>
      </c>
      <c r="M1152">
        <v>0.86</v>
      </c>
      <c r="N1152">
        <v>4</v>
      </c>
      <c r="O1152">
        <v>0.7</v>
      </c>
      <c r="P1152" t="s">
        <v>24</v>
      </c>
    </row>
    <row r="1153" spans="1:16" x14ac:dyDescent="0.35">
      <c r="A1153" t="s">
        <v>1179</v>
      </c>
      <c r="B1153">
        <v>1152</v>
      </c>
      <c r="C1153">
        <v>22</v>
      </c>
      <c r="D1153" t="s">
        <v>16</v>
      </c>
      <c r="E1153" t="s">
        <v>17</v>
      </c>
      <c r="F1153">
        <v>2.2799999999999998</v>
      </c>
      <c r="G1153">
        <v>6</v>
      </c>
      <c r="H1153">
        <v>85.6</v>
      </c>
      <c r="I1153">
        <v>0.88</v>
      </c>
      <c r="J1153" t="s">
        <v>28</v>
      </c>
      <c r="K1153">
        <v>22</v>
      </c>
      <c r="L1153">
        <v>83</v>
      </c>
      <c r="M1153">
        <v>0.82</v>
      </c>
      <c r="N1153">
        <v>5</v>
      </c>
      <c r="O1153">
        <v>0.59</v>
      </c>
      <c r="P1153" t="s">
        <v>19</v>
      </c>
    </row>
    <row r="1154" spans="1:16" x14ac:dyDescent="0.35">
      <c r="A1154" t="s">
        <v>1180</v>
      </c>
      <c r="B1154">
        <v>1153</v>
      </c>
      <c r="C1154">
        <v>21</v>
      </c>
      <c r="D1154" t="s">
        <v>21</v>
      </c>
      <c r="E1154" t="s">
        <v>30</v>
      </c>
      <c r="F1154">
        <v>2.63</v>
      </c>
      <c r="G1154">
        <v>6</v>
      </c>
      <c r="H1154">
        <v>69.400000000000006</v>
      </c>
      <c r="I1154">
        <v>0.87</v>
      </c>
      <c r="J1154" t="s">
        <v>18</v>
      </c>
      <c r="K1154">
        <v>14</v>
      </c>
      <c r="L1154">
        <v>49</v>
      </c>
      <c r="M1154">
        <v>0.78</v>
      </c>
      <c r="N1154">
        <v>3</v>
      </c>
      <c r="O1154">
        <v>0.81</v>
      </c>
      <c r="P1154" t="s">
        <v>24</v>
      </c>
    </row>
    <row r="1155" spans="1:16" x14ac:dyDescent="0.35">
      <c r="A1155" t="s">
        <v>1181</v>
      </c>
      <c r="B1155">
        <v>1154</v>
      </c>
      <c r="C1155">
        <v>19</v>
      </c>
      <c r="D1155" t="s">
        <v>16</v>
      </c>
      <c r="E1155" t="s">
        <v>22</v>
      </c>
      <c r="F1155">
        <v>3.7</v>
      </c>
      <c r="G1155">
        <v>4</v>
      </c>
      <c r="H1155">
        <v>88.5</v>
      </c>
      <c r="I1155">
        <v>0.76</v>
      </c>
      <c r="J1155" t="s">
        <v>18</v>
      </c>
      <c r="K1155">
        <v>25</v>
      </c>
      <c r="L1155">
        <v>23</v>
      </c>
      <c r="M1155">
        <v>0.86</v>
      </c>
      <c r="N1155">
        <v>16</v>
      </c>
      <c r="O1155">
        <v>0.84</v>
      </c>
      <c r="P1155" t="s">
        <v>24</v>
      </c>
    </row>
    <row r="1156" spans="1:16" x14ac:dyDescent="0.35">
      <c r="A1156" t="s">
        <v>1182</v>
      </c>
      <c r="B1156">
        <v>1155</v>
      </c>
      <c r="C1156">
        <v>25</v>
      </c>
      <c r="D1156" t="s">
        <v>16</v>
      </c>
      <c r="E1156" t="s">
        <v>17</v>
      </c>
      <c r="F1156">
        <v>2.1800000000000002</v>
      </c>
      <c r="G1156">
        <v>6</v>
      </c>
      <c r="H1156">
        <v>94.9</v>
      </c>
      <c r="I1156">
        <v>0.6</v>
      </c>
      <c r="J1156" t="s">
        <v>23</v>
      </c>
      <c r="K1156">
        <v>29</v>
      </c>
      <c r="L1156">
        <v>72</v>
      </c>
      <c r="M1156">
        <v>0.71</v>
      </c>
      <c r="N1156">
        <v>15</v>
      </c>
      <c r="O1156">
        <v>0.74</v>
      </c>
      <c r="P1156" t="s">
        <v>19</v>
      </c>
    </row>
    <row r="1157" spans="1:16" x14ac:dyDescent="0.35">
      <c r="A1157" t="s">
        <v>1183</v>
      </c>
      <c r="B1157">
        <v>1156</v>
      </c>
      <c r="C1157">
        <v>18</v>
      </c>
      <c r="D1157" t="s">
        <v>32</v>
      </c>
      <c r="E1157" t="s">
        <v>46</v>
      </c>
      <c r="F1157">
        <v>3.98</v>
      </c>
      <c r="G1157">
        <v>3</v>
      </c>
      <c r="H1157">
        <v>65.099999999999994</v>
      </c>
      <c r="I1157">
        <v>0.65</v>
      </c>
      <c r="J1157" t="s">
        <v>28</v>
      </c>
      <c r="K1157">
        <v>24</v>
      </c>
      <c r="L1157">
        <v>60</v>
      </c>
      <c r="M1157">
        <v>0.55000000000000004</v>
      </c>
      <c r="N1157">
        <v>15</v>
      </c>
      <c r="O1157">
        <v>0.52</v>
      </c>
      <c r="P1157" t="s">
        <v>19</v>
      </c>
    </row>
    <row r="1158" spans="1:16" x14ac:dyDescent="0.35">
      <c r="A1158" t="s">
        <v>1184</v>
      </c>
      <c r="B1158">
        <v>1157</v>
      </c>
      <c r="C1158">
        <v>19</v>
      </c>
      <c r="D1158" t="s">
        <v>32</v>
      </c>
      <c r="E1158" t="s">
        <v>22</v>
      </c>
      <c r="F1158">
        <v>3.08</v>
      </c>
      <c r="G1158">
        <v>3</v>
      </c>
      <c r="H1158">
        <v>94.7</v>
      </c>
      <c r="I1158">
        <v>0.81</v>
      </c>
      <c r="J1158" t="s">
        <v>23</v>
      </c>
      <c r="K1158">
        <v>15</v>
      </c>
      <c r="L1158">
        <v>88</v>
      </c>
      <c r="M1158">
        <v>0.52</v>
      </c>
      <c r="N1158">
        <v>10</v>
      </c>
      <c r="O1158">
        <v>0.83</v>
      </c>
      <c r="P1158" t="s">
        <v>24</v>
      </c>
    </row>
    <row r="1159" spans="1:16" x14ac:dyDescent="0.35">
      <c r="A1159" t="s">
        <v>1185</v>
      </c>
      <c r="B1159">
        <v>1158</v>
      </c>
      <c r="C1159">
        <v>18</v>
      </c>
      <c r="D1159" t="s">
        <v>32</v>
      </c>
      <c r="E1159" t="s">
        <v>17</v>
      </c>
      <c r="F1159">
        <v>3.97</v>
      </c>
      <c r="G1159">
        <v>3</v>
      </c>
      <c r="H1159">
        <v>83.7</v>
      </c>
      <c r="I1159">
        <v>0.87</v>
      </c>
      <c r="J1159" t="s">
        <v>28</v>
      </c>
      <c r="K1159">
        <v>38</v>
      </c>
      <c r="L1159">
        <v>67</v>
      </c>
      <c r="M1159">
        <v>0.74</v>
      </c>
      <c r="N1159">
        <v>1</v>
      </c>
      <c r="O1159">
        <v>0.92</v>
      </c>
      <c r="P1159" t="s">
        <v>41</v>
      </c>
    </row>
    <row r="1160" spans="1:16" x14ac:dyDescent="0.35">
      <c r="A1160" t="s">
        <v>1186</v>
      </c>
      <c r="B1160">
        <v>1159</v>
      </c>
      <c r="C1160">
        <v>21</v>
      </c>
      <c r="D1160" t="s">
        <v>32</v>
      </c>
      <c r="E1160" t="s">
        <v>46</v>
      </c>
      <c r="F1160">
        <v>3.88</v>
      </c>
      <c r="G1160">
        <v>4</v>
      </c>
      <c r="H1160">
        <v>65.099999999999994</v>
      </c>
      <c r="I1160">
        <v>0.77</v>
      </c>
      <c r="J1160" t="s">
        <v>23</v>
      </c>
      <c r="K1160">
        <v>13</v>
      </c>
      <c r="L1160">
        <v>24</v>
      </c>
      <c r="M1160">
        <v>0.8</v>
      </c>
      <c r="N1160">
        <v>16</v>
      </c>
      <c r="O1160">
        <v>0.86</v>
      </c>
      <c r="P1160" t="s">
        <v>24</v>
      </c>
    </row>
    <row r="1161" spans="1:16" x14ac:dyDescent="0.35">
      <c r="A1161" t="s">
        <v>1187</v>
      </c>
      <c r="B1161">
        <v>1160</v>
      </c>
      <c r="C1161">
        <v>21</v>
      </c>
      <c r="D1161" t="s">
        <v>21</v>
      </c>
      <c r="E1161" t="s">
        <v>30</v>
      </c>
      <c r="F1161">
        <v>2.91</v>
      </c>
      <c r="G1161">
        <v>4</v>
      </c>
      <c r="H1161">
        <v>77.099999999999994</v>
      </c>
      <c r="I1161">
        <v>0.89</v>
      </c>
      <c r="J1161" t="s">
        <v>18</v>
      </c>
      <c r="K1161">
        <v>16</v>
      </c>
      <c r="L1161">
        <v>74</v>
      </c>
      <c r="M1161">
        <v>0.54</v>
      </c>
      <c r="N1161">
        <v>14</v>
      </c>
      <c r="O1161">
        <v>0.91</v>
      </c>
      <c r="P1161" t="s">
        <v>24</v>
      </c>
    </row>
    <row r="1162" spans="1:16" x14ac:dyDescent="0.35">
      <c r="A1162" t="s">
        <v>1188</v>
      </c>
      <c r="B1162">
        <v>1161</v>
      </c>
      <c r="C1162">
        <v>25</v>
      </c>
      <c r="D1162" t="s">
        <v>21</v>
      </c>
      <c r="E1162" t="s">
        <v>46</v>
      </c>
      <c r="F1162">
        <v>2.4</v>
      </c>
      <c r="G1162">
        <v>5</v>
      </c>
      <c r="H1162">
        <v>66.400000000000006</v>
      </c>
      <c r="I1162">
        <v>0.81</v>
      </c>
      <c r="J1162" t="s">
        <v>23</v>
      </c>
      <c r="K1162">
        <v>11</v>
      </c>
      <c r="L1162">
        <v>64</v>
      </c>
      <c r="M1162">
        <v>0.64</v>
      </c>
      <c r="N1162">
        <v>17</v>
      </c>
      <c r="O1162">
        <v>0.6</v>
      </c>
      <c r="P1162" t="s">
        <v>19</v>
      </c>
    </row>
    <row r="1163" spans="1:16" x14ac:dyDescent="0.35">
      <c r="A1163" t="s">
        <v>1189</v>
      </c>
      <c r="B1163">
        <v>1162</v>
      </c>
      <c r="C1163">
        <v>22</v>
      </c>
      <c r="D1163" t="s">
        <v>32</v>
      </c>
      <c r="E1163" t="s">
        <v>22</v>
      </c>
      <c r="F1163">
        <v>2.33</v>
      </c>
      <c r="G1163">
        <v>6</v>
      </c>
      <c r="H1163">
        <v>88</v>
      </c>
      <c r="I1163">
        <v>0.63</v>
      </c>
      <c r="J1163" t="s">
        <v>23</v>
      </c>
      <c r="K1163">
        <v>28</v>
      </c>
      <c r="L1163">
        <v>85</v>
      </c>
      <c r="M1163">
        <v>0.66</v>
      </c>
      <c r="N1163">
        <v>9</v>
      </c>
      <c r="O1163">
        <v>0.94</v>
      </c>
      <c r="P1163" t="s">
        <v>19</v>
      </c>
    </row>
    <row r="1164" spans="1:16" x14ac:dyDescent="0.35">
      <c r="A1164" t="s">
        <v>1190</v>
      </c>
      <c r="B1164">
        <v>1163</v>
      </c>
      <c r="C1164">
        <v>19</v>
      </c>
      <c r="D1164" t="s">
        <v>21</v>
      </c>
      <c r="E1164" t="s">
        <v>30</v>
      </c>
      <c r="F1164">
        <v>2.48</v>
      </c>
      <c r="G1164">
        <v>4</v>
      </c>
      <c r="H1164">
        <v>90.4</v>
      </c>
      <c r="I1164">
        <v>0.68</v>
      </c>
      <c r="J1164" t="s">
        <v>18</v>
      </c>
      <c r="K1164">
        <v>31</v>
      </c>
      <c r="L1164">
        <v>19</v>
      </c>
      <c r="M1164">
        <v>0.78</v>
      </c>
      <c r="N1164">
        <v>5</v>
      </c>
      <c r="O1164">
        <v>0.66</v>
      </c>
      <c r="P1164" t="s">
        <v>19</v>
      </c>
    </row>
    <row r="1165" spans="1:16" x14ac:dyDescent="0.35">
      <c r="A1165" t="s">
        <v>1191</v>
      </c>
      <c r="B1165">
        <v>1164</v>
      </c>
      <c r="C1165">
        <v>23</v>
      </c>
      <c r="D1165" t="s">
        <v>32</v>
      </c>
      <c r="E1165" t="s">
        <v>17</v>
      </c>
      <c r="F1165">
        <v>3.42</v>
      </c>
      <c r="G1165">
        <v>3</v>
      </c>
      <c r="H1165">
        <v>64.2</v>
      </c>
      <c r="I1165">
        <v>0.94</v>
      </c>
      <c r="J1165" t="s">
        <v>23</v>
      </c>
      <c r="K1165">
        <v>23</v>
      </c>
      <c r="L1165">
        <v>51</v>
      </c>
      <c r="M1165">
        <v>0.64</v>
      </c>
      <c r="N1165">
        <v>15</v>
      </c>
      <c r="O1165">
        <v>0.51</v>
      </c>
      <c r="P1165" t="s">
        <v>41</v>
      </c>
    </row>
    <row r="1166" spans="1:16" x14ac:dyDescent="0.35">
      <c r="A1166" t="s">
        <v>1192</v>
      </c>
      <c r="B1166">
        <v>1165</v>
      </c>
      <c r="C1166">
        <v>22</v>
      </c>
      <c r="D1166" t="s">
        <v>16</v>
      </c>
      <c r="E1166" t="s">
        <v>30</v>
      </c>
      <c r="F1166">
        <v>2.5499999999999998</v>
      </c>
      <c r="G1166">
        <v>3</v>
      </c>
      <c r="H1166">
        <v>80.2</v>
      </c>
      <c r="I1166">
        <v>0.89</v>
      </c>
      <c r="J1166" t="s">
        <v>18</v>
      </c>
      <c r="K1166">
        <v>12</v>
      </c>
      <c r="L1166">
        <v>20</v>
      </c>
      <c r="M1166">
        <v>0.55000000000000004</v>
      </c>
      <c r="N1166">
        <v>4</v>
      </c>
      <c r="O1166">
        <v>0.92</v>
      </c>
      <c r="P1166" t="s">
        <v>24</v>
      </c>
    </row>
    <row r="1167" spans="1:16" x14ac:dyDescent="0.35">
      <c r="A1167" t="s">
        <v>1193</v>
      </c>
      <c r="B1167">
        <v>1166</v>
      </c>
      <c r="C1167">
        <v>19</v>
      </c>
      <c r="D1167" t="s">
        <v>16</v>
      </c>
      <c r="E1167" t="s">
        <v>17</v>
      </c>
      <c r="F1167">
        <v>2.68</v>
      </c>
      <c r="G1167">
        <v>4</v>
      </c>
      <c r="H1167">
        <v>92.6</v>
      </c>
      <c r="I1167">
        <v>0.96</v>
      </c>
      <c r="J1167" t="s">
        <v>28</v>
      </c>
      <c r="K1167">
        <v>19</v>
      </c>
      <c r="L1167">
        <v>25</v>
      </c>
      <c r="M1167">
        <v>0.57999999999999996</v>
      </c>
      <c r="N1167">
        <v>11</v>
      </c>
      <c r="O1167">
        <v>0.97</v>
      </c>
      <c r="P1167" t="s">
        <v>24</v>
      </c>
    </row>
    <row r="1168" spans="1:16" x14ac:dyDescent="0.35">
      <c r="A1168" t="s">
        <v>1194</v>
      </c>
      <c r="B1168">
        <v>1167</v>
      </c>
      <c r="C1168">
        <v>22</v>
      </c>
      <c r="D1168" t="s">
        <v>16</v>
      </c>
      <c r="E1168" t="s">
        <v>17</v>
      </c>
      <c r="F1168">
        <v>2.9</v>
      </c>
      <c r="G1168">
        <v>4</v>
      </c>
      <c r="H1168">
        <v>97.4</v>
      </c>
      <c r="I1168">
        <v>0.65</v>
      </c>
      <c r="J1168" t="s">
        <v>23</v>
      </c>
      <c r="K1168">
        <v>14</v>
      </c>
      <c r="L1168">
        <v>82</v>
      </c>
      <c r="M1168">
        <v>0.59</v>
      </c>
      <c r="N1168">
        <v>5</v>
      </c>
      <c r="O1168">
        <v>0.83</v>
      </c>
      <c r="P1168" t="s">
        <v>19</v>
      </c>
    </row>
    <row r="1169" spans="1:16" x14ac:dyDescent="0.35">
      <c r="A1169" t="s">
        <v>1195</v>
      </c>
      <c r="B1169">
        <v>1168</v>
      </c>
      <c r="C1169">
        <v>23</v>
      </c>
      <c r="D1169" t="s">
        <v>32</v>
      </c>
      <c r="E1169" t="s">
        <v>46</v>
      </c>
      <c r="F1169">
        <v>3.83</v>
      </c>
      <c r="G1169">
        <v>4</v>
      </c>
      <c r="H1169">
        <v>80.5</v>
      </c>
      <c r="I1169">
        <v>1</v>
      </c>
      <c r="J1169" t="s">
        <v>18</v>
      </c>
      <c r="K1169">
        <v>3</v>
      </c>
      <c r="L1169">
        <v>87</v>
      </c>
      <c r="M1169">
        <v>0.92</v>
      </c>
      <c r="N1169">
        <v>13</v>
      </c>
      <c r="O1169">
        <v>0.62</v>
      </c>
      <c r="P1169" t="s">
        <v>41</v>
      </c>
    </row>
    <row r="1170" spans="1:16" x14ac:dyDescent="0.35">
      <c r="A1170" t="s">
        <v>1196</v>
      </c>
      <c r="B1170">
        <v>1169</v>
      </c>
      <c r="C1170">
        <v>20</v>
      </c>
      <c r="D1170" t="s">
        <v>16</v>
      </c>
      <c r="E1170" t="s">
        <v>46</v>
      </c>
      <c r="F1170">
        <v>2.38</v>
      </c>
      <c r="G1170">
        <v>5</v>
      </c>
      <c r="H1170">
        <v>98</v>
      </c>
      <c r="I1170">
        <v>0.68</v>
      </c>
      <c r="J1170" t="s">
        <v>18</v>
      </c>
      <c r="K1170">
        <v>33</v>
      </c>
      <c r="L1170">
        <v>28</v>
      </c>
      <c r="M1170">
        <v>0.64</v>
      </c>
      <c r="N1170">
        <v>15</v>
      </c>
      <c r="O1170">
        <v>0.63</v>
      </c>
      <c r="P1170" t="s">
        <v>19</v>
      </c>
    </row>
    <row r="1171" spans="1:16" x14ac:dyDescent="0.35">
      <c r="A1171" t="s">
        <v>1197</v>
      </c>
      <c r="B1171">
        <v>1170</v>
      </c>
      <c r="C1171">
        <v>20</v>
      </c>
      <c r="D1171" t="s">
        <v>21</v>
      </c>
      <c r="E1171" t="s">
        <v>46</v>
      </c>
      <c r="F1171">
        <v>2.0099999999999998</v>
      </c>
      <c r="G1171">
        <v>3</v>
      </c>
      <c r="H1171">
        <v>81.400000000000006</v>
      </c>
      <c r="I1171">
        <v>0.6</v>
      </c>
      <c r="J1171" t="s">
        <v>23</v>
      </c>
      <c r="K1171">
        <v>27</v>
      </c>
      <c r="L1171">
        <v>40</v>
      </c>
      <c r="M1171">
        <v>0.86</v>
      </c>
      <c r="N1171">
        <v>6</v>
      </c>
      <c r="O1171">
        <v>0.73</v>
      </c>
      <c r="P1171" t="s">
        <v>19</v>
      </c>
    </row>
    <row r="1172" spans="1:16" x14ac:dyDescent="0.35">
      <c r="A1172" t="s">
        <v>1198</v>
      </c>
      <c r="B1172">
        <v>1171</v>
      </c>
      <c r="C1172">
        <v>25</v>
      </c>
      <c r="D1172" t="s">
        <v>16</v>
      </c>
      <c r="E1172" t="s">
        <v>22</v>
      </c>
      <c r="F1172">
        <v>2.12</v>
      </c>
      <c r="G1172">
        <v>5</v>
      </c>
      <c r="H1172">
        <v>75.8</v>
      </c>
      <c r="I1172">
        <v>1</v>
      </c>
      <c r="J1172" t="s">
        <v>28</v>
      </c>
      <c r="K1172">
        <v>1</v>
      </c>
      <c r="L1172">
        <v>82</v>
      </c>
      <c r="M1172">
        <v>0.78</v>
      </c>
      <c r="N1172">
        <v>1</v>
      </c>
      <c r="O1172">
        <v>0.95</v>
      </c>
      <c r="P1172" t="s">
        <v>19</v>
      </c>
    </row>
    <row r="1173" spans="1:16" x14ac:dyDescent="0.35">
      <c r="A1173" t="s">
        <v>1199</v>
      </c>
      <c r="B1173">
        <v>1172</v>
      </c>
      <c r="C1173">
        <v>20</v>
      </c>
      <c r="D1173" t="s">
        <v>16</v>
      </c>
      <c r="E1173" t="s">
        <v>22</v>
      </c>
      <c r="F1173">
        <v>3.81</v>
      </c>
      <c r="G1173">
        <v>5</v>
      </c>
      <c r="H1173">
        <v>93.9</v>
      </c>
      <c r="I1173">
        <v>0.71</v>
      </c>
      <c r="J1173" t="s">
        <v>23</v>
      </c>
      <c r="K1173">
        <v>29</v>
      </c>
      <c r="L1173">
        <v>62</v>
      </c>
      <c r="M1173">
        <v>0.99</v>
      </c>
      <c r="N1173">
        <v>5</v>
      </c>
      <c r="O1173">
        <v>0.56999999999999995</v>
      </c>
      <c r="P1173" t="s">
        <v>19</v>
      </c>
    </row>
    <row r="1174" spans="1:16" x14ac:dyDescent="0.35">
      <c r="A1174" t="s">
        <v>1200</v>
      </c>
      <c r="B1174">
        <v>1173</v>
      </c>
      <c r="C1174">
        <v>20</v>
      </c>
      <c r="D1174" t="s">
        <v>16</v>
      </c>
      <c r="E1174" t="s">
        <v>46</v>
      </c>
      <c r="F1174">
        <v>3.3</v>
      </c>
      <c r="G1174">
        <v>6</v>
      </c>
      <c r="H1174">
        <v>79.7</v>
      </c>
      <c r="I1174">
        <v>0.87</v>
      </c>
      <c r="J1174" t="s">
        <v>18</v>
      </c>
      <c r="K1174">
        <v>25</v>
      </c>
      <c r="L1174">
        <v>17</v>
      </c>
      <c r="M1174">
        <v>0.64</v>
      </c>
      <c r="N1174">
        <v>8</v>
      </c>
      <c r="O1174">
        <v>0.91</v>
      </c>
      <c r="P1174" t="s">
        <v>41</v>
      </c>
    </row>
    <row r="1175" spans="1:16" x14ac:dyDescent="0.35">
      <c r="A1175" t="s">
        <v>1201</v>
      </c>
      <c r="B1175">
        <v>1174</v>
      </c>
      <c r="C1175">
        <v>24</v>
      </c>
      <c r="D1175" t="s">
        <v>21</v>
      </c>
      <c r="E1175" t="s">
        <v>22</v>
      </c>
      <c r="F1175">
        <v>2.5499999999999998</v>
      </c>
      <c r="G1175">
        <v>3</v>
      </c>
      <c r="H1175">
        <v>78.900000000000006</v>
      </c>
      <c r="I1175">
        <v>0.67</v>
      </c>
      <c r="J1175" t="s">
        <v>28</v>
      </c>
      <c r="K1175">
        <v>25</v>
      </c>
      <c r="L1175">
        <v>33</v>
      </c>
      <c r="M1175">
        <v>0.57999999999999996</v>
      </c>
      <c r="N1175">
        <v>6</v>
      </c>
      <c r="O1175">
        <v>0.65</v>
      </c>
      <c r="P1175" t="s">
        <v>19</v>
      </c>
    </row>
    <row r="1176" spans="1:16" x14ac:dyDescent="0.35">
      <c r="A1176" t="s">
        <v>1202</v>
      </c>
      <c r="B1176">
        <v>1175</v>
      </c>
      <c r="C1176">
        <v>18</v>
      </c>
      <c r="D1176" t="s">
        <v>32</v>
      </c>
      <c r="E1176" t="s">
        <v>30</v>
      </c>
      <c r="F1176">
        <v>2.35</v>
      </c>
      <c r="G1176">
        <v>3</v>
      </c>
      <c r="H1176">
        <v>79.599999999999994</v>
      </c>
      <c r="I1176">
        <v>0.83</v>
      </c>
      <c r="J1176" t="s">
        <v>23</v>
      </c>
      <c r="K1176">
        <v>19</v>
      </c>
      <c r="L1176">
        <v>17</v>
      </c>
      <c r="M1176">
        <v>0.53</v>
      </c>
      <c r="N1176">
        <v>1</v>
      </c>
      <c r="O1176">
        <v>0.9</v>
      </c>
      <c r="P1176" t="s">
        <v>19</v>
      </c>
    </row>
    <row r="1177" spans="1:16" x14ac:dyDescent="0.35">
      <c r="A1177" t="s">
        <v>1203</v>
      </c>
      <c r="B1177">
        <v>1176</v>
      </c>
      <c r="C1177">
        <v>24</v>
      </c>
      <c r="D1177" t="s">
        <v>21</v>
      </c>
      <c r="E1177" t="s">
        <v>30</v>
      </c>
      <c r="F1177">
        <v>2.59</v>
      </c>
      <c r="G1177">
        <v>4</v>
      </c>
      <c r="H1177">
        <v>93.9</v>
      </c>
      <c r="I1177">
        <v>0.96</v>
      </c>
      <c r="J1177" t="s">
        <v>18</v>
      </c>
      <c r="K1177">
        <v>27</v>
      </c>
      <c r="L1177">
        <v>57</v>
      </c>
      <c r="M1177">
        <v>0.62</v>
      </c>
      <c r="N1177">
        <v>18</v>
      </c>
      <c r="O1177">
        <v>0.96</v>
      </c>
      <c r="P1177" t="s">
        <v>24</v>
      </c>
    </row>
    <row r="1178" spans="1:16" x14ac:dyDescent="0.35">
      <c r="A1178" t="s">
        <v>1204</v>
      </c>
      <c r="B1178">
        <v>1177</v>
      </c>
      <c r="C1178">
        <v>24</v>
      </c>
      <c r="D1178" t="s">
        <v>32</v>
      </c>
      <c r="E1178" t="s">
        <v>22</v>
      </c>
      <c r="F1178">
        <v>2.23</v>
      </c>
      <c r="G1178">
        <v>4</v>
      </c>
      <c r="H1178">
        <v>93.3</v>
      </c>
      <c r="I1178">
        <v>0.73</v>
      </c>
      <c r="J1178" t="s">
        <v>23</v>
      </c>
      <c r="K1178">
        <v>19</v>
      </c>
      <c r="L1178">
        <v>39</v>
      </c>
      <c r="M1178">
        <v>0.84</v>
      </c>
      <c r="N1178">
        <v>7</v>
      </c>
      <c r="O1178">
        <v>0.71</v>
      </c>
      <c r="P1178" t="s">
        <v>19</v>
      </c>
    </row>
    <row r="1179" spans="1:16" x14ac:dyDescent="0.35">
      <c r="A1179" t="s">
        <v>1205</v>
      </c>
      <c r="B1179">
        <v>1178</v>
      </c>
      <c r="C1179">
        <v>25</v>
      </c>
      <c r="D1179" t="s">
        <v>32</v>
      </c>
      <c r="E1179" t="s">
        <v>22</v>
      </c>
      <c r="F1179">
        <v>3.88</v>
      </c>
      <c r="G1179">
        <v>6</v>
      </c>
      <c r="H1179">
        <v>76.099999999999994</v>
      </c>
      <c r="I1179">
        <v>0.87</v>
      </c>
      <c r="J1179" t="s">
        <v>28</v>
      </c>
      <c r="K1179">
        <v>10</v>
      </c>
      <c r="L1179">
        <v>67</v>
      </c>
      <c r="M1179">
        <v>0.54</v>
      </c>
      <c r="N1179">
        <v>10</v>
      </c>
      <c r="O1179">
        <v>0.68</v>
      </c>
      <c r="P1179" t="s">
        <v>41</v>
      </c>
    </row>
    <row r="1180" spans="1:16" x14ac:dyDescent="0.35">
      <c r="A1180" t="s">
        <v>1206</v>
      </c>
      <c r="B1180">
        <v>1179</v>
      </c>
      <c r="C1180">
        <v>24</v>
      </c>
      <c r="D1180" t="s">
        <v>16</v>
      </c>
      <c r="E1180" t="s">
        <v>30</v>
      </c>
      <c r="F1180">
        <v>3.57</v>
      </c>
      <c r="G1180">
        <v>5</v>
      </c>
      <c r="H1180">
        <v>73.3</v>
      </c>
      <c r="I1180">
        <v>0.68</v>
      </c>
      <c r="J1180" t="s">
        <v>28</v>
      </c>
      <c r="K1180">
        <v>9</v>
      </c>
      <c r="L1180">
        <v>64</v>
      </c>
      <c r="M1180">
        <v>0.62</v>
      </c>
      <c r="N1180">
        <v>3</v>
      </c>
      <c r="O1180">
        <v>0.9</v>
      </c>
      <c r="P1180" t="s">
        <v>19</v>
      </c>
    </row>
    <row r="1181" spans="1:16" x14ac:dyDescent="0.35">
      <c r="A1181" t="s">
        <v>1207</v>
      </c>
      <c r="B1181">
        <v>1180</v>
      </c>
      <c r="C1181">
        <v>20</v>
      </c>
      <c r="D1181" t="s">
        <v>32</v>
      </c>
      <c r="E1181" t="s">
        <v>17</v>
      </c>
      <c r="F1181">
        <v>2.92</v>
      </c>
      <c r="G1181">
        <v>4</v>
      </c>
      <c r="H1181">
        <v>79.7</v>
      </c>
      <c r="I1181">
        <v>0.85</v>
      </c>
      <c r="J1181" t="s">
        <v>28</v>
      </c>
      <c r="K1181">
        <v>22</v>
      </c>
      <c r="L1181">
        <v>82</v>
      </c>
      <c r="M1181">
        <v>0.93</v>
      </c>
      <c r="N1181">
        <v>15</v>
      </c>
      <c r="O1181">
        <v>0.76</v>
      </c>
      <c r="P1181" t="s">
        <v>24</v>
      </c>
    </row>
    <row r="1182" spans="1:16" x14ac:dyDescent="0.35">
      <c r="A1182" t="s">
        <v>1208</v>
      </c>
      <c r="B1182">
        <v>1181</v>
      </c>
      <c r="C1182">
        <v>23</v>
      </c>
      <c r="D1182" t="s">
        <v>21</v>
      </c>
      <c r="E1182" t="s">
        <v>30</v>
      </c>
      <c r="F1182">
        <v>3.73</v>
      </c>
      <c r="G1182">
        <v>4</v>
      </c>
      <c r="H1182">
        <v>82.9</v>
      </c>
      <c r="I1182">
        <v>0.73</v>
      </c>
      <c r="J1182" t="s">
        <v>28</v>
      </c>
      <c r="K1182">
        <v>36</v>
      </c>
      <c r="L1182">
        <v>71</v>
      </c>
      <c r="M1182">
        <v>0.79</v>
      </c>
      <c r="N1182">
        <v>17</v>
      </c>
      <c r="O1182">
        <v>0.84</v>
      </c>
      <c r="P1182" t="s">
        <v>19</v>
      </c>
    </row>
    <row r="1183" spans="1:16" x14ac:dyDescent="0.35">
      <c r="A1183" t="s">
        <v>1209</v>
      </c>
      <c r="B1183">
        <v>1182</v>
      </c>
      <c r="C1183">
        <v>25</v>
      </c>
      <c r="D1183" t="s">
        <v>21</v>
      </c>
      <c r="E1183" t="s">
        <v>30</v>
      </c>
      <c r="F1183">
        <v>2.5</v>
      </c>
      <c r="G1183">
        <v>3</v>
      </c>
      <c r="H1183">
        <v>69.5</v>
      </c>
      <c r="I1183">
        <v>0.68</v>
      </c>
      <c r="J1183" t="s">
        <v>28</v>
      </c>
      <c r="K1183">
        <v>18</v>
      </c>
      <c r="L1183">
        <v>57</v>
      </c>
      <c r="M1183">
        <v>0.53</v>
      </c>
      <c r="N1183">
        <v>12</v>
      </c>
      <c r="O1183">
        <v>0.81</v>
      </c>
      <c r="P1183" t="s">
        <v>19</v>
      </c>
    </row>
    <row r="1184" spans="1:16" x14ac:dyDescent="0.35">
      <c r="A1184" t="s">
        <v>1210</v>
      </c>
      <c r="B1184">
        <v>1183</v>
      </c>
      <c r="C1184">
        <v>25</v>
      </c>
      <c r="D1184" t="s">
        <v>32</v>
      </c>
      <c r="E1184" t="s">
        <v>22</v>
      </c>
      <c r="F1184">
        <v>3.43</v>
      </c>
      <c r="G1184">
        <v>3</v>
      </c>
      <c r="H1184">
        <v>91.8</v>
      </c>
      <c r="I1184">
        <v>0.73</v>
      </c>
      <c r="J1184" t="s">
        <v>23</v>
      </c>
      <c r="K1184">
        <v>17</v>
      </c>
      <c r="L1184">
        <v>13</v>
      </c>
      <c r="M1184">
        <v>0.52</v>
      </c>
      <c r="N1184">
        <v>4</v>
      </c>
      <c r="O1184">
        <v>0.57999999999999996</v>
      </c>
      <c r="P1184" t="s">
        <v>19</v>
      </c>
    </row>
    <row r="1185" spans="1:16" x14ac:dyDescent="0.35">
      <c r="A1185" t="s">
        <v>1211</v>
      </c>
      <c r="B1185">
        <v>1184</v>
      </c>
      <c r="C1185">
        <v>21</v>
      </c>
      <c r="D1185" t="s">
        <v>16</v>
      </c>
      <c r="E1185" t="s">
        <v>30</v>
      </c>
      <c r="F1185">
        <v>3.71</v>
      </c>
      <c r="G1185">
        <v>4</v>
      </c>
      <c r="H1185">
        <v>79.5</v>
      </c>
      <c r="I1185">
        <v>0.67</v>
      </c>
      <c r="J1185" t="s">
        <v>28</v>
      </c>
      <c r="K1185">
        <v>26</v>
      </c>
      <c r="L1185">
        <v>46</v>
      </c>
      <c r="M1185">
        <v>0.53</v>
      </c>
      <c r="N1185">
        <v>1</v>
      </c>
      <c r="O1185">
        <v>0.92</v>
      </c>
      <c r="P1185" t="s">
        <v>19</v>
      </c>
    </row>
    <row r="1186" spans="1:16" x14ac:dyDescent="0.35">
      <c r="A1186" t="s">
        <v>1212</v>
      </c>
      <c r="B1186">
        <v>1185</v>
      </c>
      <c r="C1186">
        <v>25</v>
      </c>
      <c r="D1186" t="s">
        <v>16</v>
      </c>
      <c r="E1186" t="s">
        <v>22</v>
      </c>
      <c r="F1186">
        <v>2.71</v>
      </c>
      <c r="G1186">
        <v>3</v>
      </c>
      <c r="H1186">
        <v>73.400000000000006</v>
      </c>
      <c r="I1186">
        <v>0.96</v>
      </c>
      <c r="J1186" t="s">
        <v>28</v>
      </c>
      <c r="K1186">
        <v>5</v>
      </c>
      <c r="L1186">
        <v>17</v>
      </c>
      <c r="M1186">
        <v>0.97</v>
      </c>
      <c r="N1186">
        <v>10</v>
      </c>
      <c r="O1186">
        <v>0.6</v>
      </c>
      <c r="P1186" t="s">
        <v>24</v>
      </c>
    </row>
    <row r="1187" spans="1:16" x14ac:dyDescent="0.35">
      <c r="A1187" t="s">
        <v>1213</v>
      </c>
      <c r="B1187">
        <v>1186</v>
      </c>
      <c r="C1187">
        <v>21</v>
      </c>
      <c r="D1187" t="s">
        <v>21</v>
      </c>
      <c r="E1187" t="s">
        <v>22</v>
      </c>
      <c r="F1187">
        <v>3.51</v>
      </c>
      <c r="G1187">
        <v>6</v>
      </c>
      <c r="H1187">
        <v>64.3</v>
      </c>
      <c r="I1187">
        <v>0.76</v>
      </c>
      <c r="J1187" t="s">
        <v>18</v>
      </c>
      <c r="K1187">
        <v>9</v>
      </c>
      <c r="L1187">
        <v>10</v>
      </c>
      <c r="M1187">
        <v>0.92</v>
      </c>
      <c r="N1187">
        <v>0</v>
      </c>
      <c r="O1187">
        <v>0.97</v>
      </c>
      <c r="P1187" t="s">
        <v>24</v>
      </c>
    </row>
    <row r="1188" spans="1:16" x14ac:dyDescent="0.35">
      <c r="A1188" t="s">
        <v>1214</v>
      </c>
      <c r="B1188">
        <v>1187</v>
      </c>
      <c r="C1188">
        <v>25</v>
      </c>
      <c r="D1188" t="s">
        <v>16</v>
      </c>
      <c r="E1188" t="s">
        <v>46</v>
      </c>
      <c r="F1188">
        <v>2.59</v>
      </c>
      <c r="G1188">
        <v>4</v>
      </c>
      <c r="H1188">
        <v>69.599999999999994</v>
      </c>
      <c r="I1188">
        <v>0.7</v>
      </c>
      <c r="J1188" t="s">
        <v>28</v>
      </c>
      <c r="K1188">
        <v>1</v>
      </c>
      <c r="L1188">
        <v>79</v>
      </c>
      <c r="M1188">
        <v>0.92</v>
      </c>
      <c r="N1188">
        <v>12</v>
      </c>
      <c r="O1188">
        <v>0.63</v>
      </c>
      <c r="P1188" t="s">
        <v>19</v>
      </c>
    </row>
    <row r="1189" spans="1:16" x14ac:dyDescent="0.35">
      <c r="A1189" t="s">
        <v>1215</v>
      </c>
      <c r="B1189">
        <v>1188</v>
      </c>
      <c r="C1189">
        <v>18</v>
      </c>
      <c r="D1189" t="s">
        <v>32</v>
      </c>
      <c r="E1189" t="s">
        <v>30</v>
      </c>
      <c r="F1189">
        <v>2.6</v>
      </c>
      <c r="G1189">
        <v>3</v>
      </c>
      <c r="H1189">
        <v>98</v>
      </c>
      <c r="I1189">
        <v>0.78</v>
      </c>
      <c r="J1189" t="s">
        <v>18</v>
      </c>
      <c r="K1189">
        <v>23</v>
      </c>
      <c r="L1189">
        <v>56</v>
      </c>
      <c r="M1189">
        <v>0.96</v>
      </c>
      <c r="N1189">
        <v>4</v>
      </c>
      <c r="O1189">
        <v>0.87</v>
      </c>
      <c r="P1189" t="s">
        <v>24</v>
      </c>
    </row>
    <row r="1190" spans="1:16" x14ac:dyDescent="0.35">
      <c r="A1190" t="s">
        <v>1216</v>
      </c>
      <c r="B1190">
        <v>1189</v>
      </c>
      <c r="C1190">
        <v>20</v>
      </c>
      <c r="D1190" t="s">
        <v>32</v>
      </c>
      <c r="E1190" t="s">
        <v>17</v>
      </c>
      <c r="F1190">
        <v>2.21</v>
      </c>
      <c r="G1190">
        <v>6</v>
      </c>
      <c r="H1190">
        <v>72.2</v>
      </c>
      <c r="I1190">
        <v>0.73</v>
      </c>
      <c r="J1190" t="s">
        <v>18</v>
      </c>
      <c r="K1190">
        <v>37</v>
      </c>
      <c r="L1190">
        <v>84</v>
      </c>
      <c r="M1190">
        <v>0.75</v>
      </c>
      <c r="N1190">
        <v>17</v>
      </c>
      <c r="O1190">
        <v>0.64</v>
      </c>
      <c r="P1190" t="s">
        <v>19</v>
      </c>
    </row>
    <row r="1191" spans="1:16" x14ac:dyDescent="0.35">
      <c r="A1191" t="s">
        <v>1217</v>
      </c>
      <c r="B1191">
        <v>1190</v>
      </c>
      <c r="C1191">
        <v>25</v>
      </c>
      <c r="D1191" t="s">
        <v>21</v>
      </c>
      <c r="E1191" t="s">
        <v>46</v>
      </c>
      <c r="F1191">
        <v>2.88</v>
      </c>
      <c r="G1191">
        <v>3</v>
      </c>
      <c r="H1191">
        <v>66.8</v>
      </c>
      <c r="I1191">
        <v>0.9</v>
      </c>
      <c r="J1191" t="s">
        <v>18</v>
      </c>
      <c r="K1191">
        <v>27</v>
      </c>
      <c r="L1191">
        <v>14</v>
      </c>
      <c r="M1191">
        <v>0.62</v>
      </c>
      <c r="N1191">
        <v>13</v>
      </c>
      <c r="O1191">
        <v>0.66</v>
      </c>
      <c r="P1191" t="s">
        <v>24</v>
      </c>
    </row>
    <row r="1192" spans="1:16" x14ac:dyDescent="0.35">
      <c r="A1192" t="s">
        <v>1218</v>
      </c>
      <c r="B1192">
        <v>1191</v>
      </c>
      <c r="C1192">
        <v>20</v>
      </c>
      <c r="D1192" t="s">
        <v>32</v>
      </c>
      <c r="E1192" t="s">
        <v>22</v>
      </c>
      <c r="F1192">
        <v>3.46</v>
      </c>
      <c r="G1192">
        <v>3</v>
      </c>
      <c r="H1192">
        <v>78.400000000000006</v>
      </c>
      <c r="I1192">
        <v>0.99</v>
      </c>
      <c r="J1192" t="s">
        <v>23</v>
      </c>
      <c r="K1192">
        <v>27</v>
      </c>
      <c r="L1192">
        <v>59</v>
      </c>
      <c r="M1192">
        <v>0.7</v>
      </c>
      <c r="N1192">
        <v>12</v>
      </c>
      <c r="O1192">
        <v>0.66</v>
      </c>
      <c r="P1192" t="s">
        <v>41</v>
      </c>
    </row>
    <row r="1193" spans="1:16" x14ac:dyDescent="0.35">
      <c r="A1193" t="s">
        <v>1219</v>
      </c>
      <c r="B1193">
        <v>1192</v>
      </c>
      <c r="C1193">
        <v>20</v>
      </c>
      <c r="D1193" t="s">
        <v>21</v>
      </c>
      <c r="E1193" t="s">
        <v>22</v>
      </c>
      <c r="F1193">
        <v>3.88</v>
      </c>
      <c r="G1193">
        <v>3</v>
      </c>
      <c r="H1193">
        <v>72.3</v>
      </c>
      <c r="I1193">
        <v>0.78</v>
      </c>
      <c r="J1193" t="s">
        <v>23</v>
      </c>
      <c r="K1193">
        <v>38</v>
      </c>
      <c r="L1193">
        <v>33</v>
      </c>
      <c r="M1193">
        <v>0.86</v>
      </c>
      <c r="N1193">
        <v>6</v>
      </c>
      <c r="O1193">
        <v>0.87</v>
      </c>
      <c r="P1193" t="s">
        <v>24</v>
      </c>
    </row>
    <row r="1194" spans="1:16" x14ac:dyDescent="0.35">
      <c r="A1194" t="s">
        <v>1220</v>
      </c>
      <c r="B1194">
        <v>1193</v>
      </c>
      <c r="C1194">
        <v>22</v>
      </c>
      <c r="D1194" t="s">
        <v>32</v>
      </c>
      <c r="E1194" t="s">
        <v>17</v>
      </c>
      <c r="F1194">
        <v>3.21</v>
      </c>
      <c r="G1194">
        <v>4</v>
      </c>
      <c r="H1194">
        <v>61.4</v>
      </c>
      <c r="I1194">
        <v>0.94</v>
      </c>
      <c r="J1194" t="s">
        <v>18</v>
      </c>
      <c r="K1194">
        <v>1</v>
      </c>
      <c r="L1194">
        <v>56</v>
      </c>
      <c r="M1194">
        <v>0.94</v>
      </c>
      <c r="N1194">
        <v>7</v>
      </c>
      <c r="O1194">
        <v>0.78</v>
      </c>
      <c r="P1194" t="s">
        <v>41</v>
      </c>
    </row>
    <row r="1195" spans="1:16" x14ac:dyDescent="0.35">
      <c r="A1195" t="s">
        <v>1221</v>
      </c>
      <c r="B1195">
        <v>1194</v>
      </c>
      <c r="C1195">
        <v>25</v>
      </c>
      <c r="D1195" t="s">
        <v>21</v>
      </c>
      <c r="E1195" t="s">
        <v>22</v>
      </c>
      <c r="F1195">
        <v>3.73</v>
      </c>
      <c r="G1195">
        <v>5</v>
      </c>
      <c r="H1195">
        <v>72.900000000000006</v>
      </c>
      <c r="I1195">
        <v>0.83</v>
      </c>
      <c r="J1195" t="s">
        <v>23</v>
      </c>
      <c r="K1195">
        <v>4</v>
      </c>
      <c r="L1195">
        <v>27</v>
      </c>
      <c r="M1195">
        <v>0.72</v>
      </c>
      <c r="N1195">
        <v>17</v>
      </c>
      <c r="O1195">
        <v>0.94</v>
      </c>
      <c r="P1195" t="s">
        <v>24</v>
      </c>
    </row>
    <row r="1196" spans="1:16" x14ac:dyDescent="0.35">
      <c r="A1196" t="s">
        <v>1222</v>
      </c>
      <c r="B1196">
        <v>1195</v>
      </c>
      <c r="C1196">
        <v>19</v>
      </c>
      <c r="D1196" t="s">
        <v>16</v>
      </c>
      <c r="E1196" t="s">
        <v>30</v>
      </c>
      <c r="F1196">
        <v>3.64</v>
      </c>
      <c r="G1196">
        <v>3</v>
      </c>
      <c r="H1196">
        <v>81.8</v>
      </c>
      <c r="I1196">
        <v>0.66</v>
      </c>
      <c r="J1196" t="s">
        <v>28</v>
      </c>
      <c r="K1196">
        <v>10</v>
      </c>
      <c r="L1196">
        <v>37</v>
      </c>
      <c r="M1196">
        <v>0.77</v>
      </c>
      <c r="N1196">
        <v>6</v>
      </c>
      <c r="O1196">
        <v>0.65</v>
      </c>
      <c r="P1196" t="s">
        <v>19</v>
      </c>
    </row>
    <row r="1197" spans="1:16" x14ac:dyDescent="0.35">
      <c r="A1197" t="s">
        <v>1223</v>
      </c>
      <c r="B1197">
        <v>1196</v>
      </c>
      <c r="C1197">
        <v>22</v>
      </c>
      <c r="D1197" t="s">
        <v>32</v>
      </c>
      <c r="E1197" t="s">
        <v>46</v>
      </c>
      <c r="F1197">
        <v>2.35</v>
      </c>
      <c r="G1197">
        <v>6</v>
      </c>
      <c r="H1197">
        <v>82.1</v>
      </c>
      <c r="I1197">
        <v>0.88</v>
      </c>
      <c r="J1197" t="s">
        <v>23</v>
      </c>
      <c r="K1197">
        <v>9</v>
      </c>
      <c r="L1197">
        <v>86</v>
      </c>
      <c r="M1197">
        <v>0.97</v>
      </c>
      <c r="N1197">
        <v>19</v>
      </c>
      <c r="O1197">
        <v>0.85</v>
      </c>
      <c r="P1197" t="s">
        <v>19</v>
      </c>
    </row>
    <row r="1198" spans="1:16" x14ac:dyDescent="0.35">
      <c r="A1198" t="s">
        <v>1224</v>
      </c>
      <c r="B1198">
        <v>1197</v>
      </c>
      <c r="C1198">
        <v>19</v>
      </c>
      <c r="D1198" t="s">
        <v>32</v>
      </c>
      <c r="E1198" t="s">
        <v>22</v>
      </c>
      <c r="F1198">
        <v>2.97</v>
      </c>
      <c r="G1198">
        <v>4</v>
      </c>
      <c r="H1198">
        <v>74.3</v>
      </c>
      <c r="I1198">
        <v>0.81</v>
      </c>
      <c r="J1198" t="s">
        <v>28</v>
      </c>
      <c r="K1198">
        <v>1</v>
      </c>
      <c r="L1198">
        <v>14</v>
      </c>
      <c r="M1198">
        <v>0.55000000000000004</v>
      </c>
      <c r="N1198">
        <v>16</v>
      </c>
      <c r="O1198">
        <v>0.88</v>
      </c>
      <c r="P1198" t="s">
        <v>24</v>
      </c>
    </row>
    <row r="1199" spans="1:16" x14ac:dyDescent="0.35">
      <c r="A1199" t="s">
        <v>1225</v>
      </c>
      <c r="B1199">
        <v>1198</v>
      </c>
      <c r="C1199">
        <v>20</v>
      </c>
      <c r="D1199" t="s">
        <v>21</v>
      </c>
      <c r="E1199" t="s">
        <v>22</v>
      </c>
      <c r="F1199">
        <v>2.23</v>
      </c>
      <c r="G1199">
        <v>4</v>
      </c>
      <c r="H1199">
        <v>77.900000000000006</v>
      </c>
      <c r="I1199">
        <v>0.86</v>
      </c>
      <c r="J1199" t="s">
        <v>28</v>
      </c>
      <c r="K1199">
        <v>14</v>
      </c>
      <c r="L1199">
        <v>39</v>
      </c>
      <c r="M1199">
        <v>0.93</v>
      </c>
      <c r="N1199">
        <v>15</v>
      </c>
      <c r="O1199">
        <v>0.57999999999999996</v>
      </c>
      <c r="P1199" t="s">
        <v>19</v>
      </c>
    </row>
    <row r="1200" spans="1:16" x14ac:dyDescent="0.35">
      <c r="A1200" t="s">
        <v>1226</v>
      </c>
      <c r="B1200">
        <v>1199</v>
      </c>
      <c r="C1200">
        <v>20</v>
      </c>
      <c r="D1200" t="s">
        <v>21</v>
      </c>
      <c r="E1200" t="s">
        <v>17</v>
      </c>
      <c r="F1200">
        <v>3.36</v>
      </c>
      <c r="G1200">
        <v>6</v>
      </c>
      <c r="H1200">
        <v>98.6</v>
      </c>
      <c r="I1200">
        <v>0.96</v>
      </c>
      <c r="J1200" t="s">
        <v>23</v>
      </c>
      <c r="K1200">
        <v>38</v>
      </c>
      <c r="L1200">
        <v>10</v>
      </c>
      <c r="M1200">
        <v>0.57999999999999996</v>
      </c>
      <c r="N1200">
        <v>10</v>
      </c>
      <c r="O1200">
        <v>0.7</v>
      </c>
      <c r="P1200" t="s">
        <v>41</v>
      </c>
    </row>
    <row r="1201" spans="1:16" x14ac:dyDescent="0.35">
      <c r="A1201" t="s">
        <v>1227</v>
      </c>
      <c r="B1201">
        <v>1200</v>
      </c>
      <c r="C1201">
        <v>22</v>
      </c>
      <c r="D1201" t="s">
        <v>32</v>
      </c>
      <c r="E1201" t="s">
        <v>30</v>
      </c>
      <c r="F1201">
        <v>3.9</v>
      </c>
      <c r="G1201">
        <v>3</v>
      </c>
      <c r="H1201">
        <v>75.099999999999994</v>
      </c>
      <c r="I1201">
        <v>0.78</v>
      </c>
      <c r="J1201" t="s">
        <v>23</v>
      </c>
      <c r="K1201">
        <v>36</v>
      </c>
      <c r="L1201">
        <v>55</v>
      </c>
      <c r="M1201">
        <v>0.74</v>
      </c>
      <c r="N1201">
        <v>18</v>
      </c>
      <c r="O1201">
        <v>0.74</v>
      </c>
      <c r="P1201" t="s">
        <v>24</v>
      </c>
    </row>
    <row r="1202" spans="1:16" x14ac:dyDescent="0.35">
      <c r="A1202" t="s">
        <v>1228</v>
      </c>
      <c r="B1202">
        <v>1201</v>
      </c>
      <c r="C1202">
        <v>22</v>
      </c>
      <c r="D1202" t="s">
        <v>21</v>
      </c>
      <c r="E1202" t="s">
        <v>22</v>
      </c>
      <c r="F1202">
        <v>2.27</v>
      </c>
      <c r="G1202">
        <v>5</v>
      </c>
      <c r="H1202">
        <v>70.3</v>
      </c>
      <c r="I1202">
        <v>0.96</v>
      </c>
      <c r="J1202" t="s">
        <v>18</v>
      </c>
      <c r="K1202">
        <v>6</v>
      </c>
      <c r="L1202">
        <v>78</v>
      </c>
      <c r="M1202">
        <v>0.61</v>
      </c>
      <c r="N1202">
        <v>0</v>
      </c>
      <c r="O1202">
        <v>0.68</v>
      </c>
      <c r="P1202" t="s">
        <v>19</v>
      </c>
    </row>
    <row r="1203" spans="1:16" x14ac:dyDescent="0.35">
      <c r="A1203" t="s">
        <v>1229</v>
      </c>
      <c r="B1203">
        <v>1202</v>
      </c>
      <c r="C1203">
        <v>19</v>
      </c>
      <c r="D1203" t="s">
        <v>32</v>
      </c>
      <c r="E1203" t="s">
        <v>17</v>
      </c>
      <c r="F1203">
        <v>3.47</v>
      </c>
      <c r="G1203">
        <v>3</v>
      </c>
      <c r="H1203">
        <v>69.7</v>
      </c>
      <c r="I1203">
        <v>0.9</v>
      </c>
      <c r="J1203" t="s">
        <v>23</v>
      </c>
      <c r="K1203">
        <v>19</v>
      </c>
      <c r="L1203">
        <v>40</v>
      </c>
      <c r="M1203">
        <v>0.8</v>
      </c>
      <c r="N1203">
        <v>7</v>
      </c>
      <c r="O1203">
        <v>0.66</v>
      </c>
      <c r="P1203" t="s">
        <v>41</v>
      </c>
    </row>
    <row r="1204" spans="1:16" x14ac:dyDescent="0.35">
      <c r="A1204" t="s">
        <v>1230</v>
      </c>
      <c r="B1204">
        <v>1203</v>
      </c>
      <c r="C1204">
        <v>21</v>
      </c>
      <c r="D1204" t="s">
        <v>16</v>
      </c>
      <c r="E1204" t="s">
        <v>22</v>
      </c>
      <c r="F1204">
        <v>3.26</v>
      </c>
      <c r="G1204">
        <v>6</v>
      </c>
      <c r="H1204">
        <v>78.3</v>
      </c>
      <c r="I1204">
        <v>0.8</v>
      </c>
      <c r="J1204" t="s">
        <v>23</v>
      </c>
      <c r="K1204">
        <v>33</v>
      </c>
      <c r="L1204">
        <v>79</v>
      </c>
      <c r="M1204">
        <v>0.78</v>
      </c>
      <c r="N1204">
        <v>0</v>
      </c>
      <c r="O1204">
        <v>0.84</v>
      </c>
      <c r="P1204" t="s">
        <v>24</v>
      </c>
    </row>
    <row r="1205" spans="1:16" x14ac:dyDescent="0.35">
      <c r="A1205" t="s">
        <v>1231</v>
      </c>
      <c r="B1205">
        <v>1204</v>
      </c>
      <c r="C1205">
        <v>19</v>
      </c>
      <c r="D1205" t="s">
        <v>21</v>
      </c>
      <c r="E1205" t="s">
        <v>17</v>
      </c>
      <c r="F1205">
        <v>3.17</v>
      </c>
      <c r="G1205">
        <v>4</v>
      </c>
      <c r="H1205">
        <v>90.4</v>
      </c>
      <c r="I1205">
        <v>0.84</v>
      </c>
      <c r="J1205" t="s">
        <v>23</v>
      </c>
      <c r="K1205">
        <v>34</v>
      </c>
      <c r="L1205">
        <v>65</v>
      </c>
      <c r="M1205">
        <v>0.69</v>
      </c>
      <c r="N1205">
        <v>8</v>
      </c>
      <c r="O1205">
        <v>0.61</v>
      </c>
      <c r="P1205" t="s">
        <v>24</v>
      </c>
    </row>
    <row r="1206" spans="1:16" x14ac:dyDescent="0.35">
      <c r="A1206" t="s">
        <v>1232</v>
      </c>
      <c r="B1206">
        <v>1205</v>
      </c>
      <c r="C1206">
        <v>22</v>
      </c>
      <c r="D1206" t="s">
        <v>32</v>
      </c>
      <c r="E1206" t="s">
        <v>17</v>
      </c>
      <c r="F1206">
        <v>2.78</v>
      </c>
      <c r="G1206">
        <v>5</v>
      </c>
      <c r="H1206">
        <v>68.2</v>
      </c>
      <c r="I1206">
        <v>0.73</v>
      </c>
      <c r="J1206" t="s">
        <v>28</v>
      </c>
      <c r="K1206">
        <v>33</v>
      </c>
      <c r="L1206">
        <v>37</v>
      </c>
      <c r="M1206">
        <v>0.93</v>
      </c>
      <c r="N1206">
        <v>18</v>
      </c>
      <c r="O1206">
        <v>0.85</v>
      </c>
      <c r="P1206" t="s">
        <v>19</v>
      </c>
    </row>
    <row r="1207" spans="1:16" x14ac:dyDescent="0.35">
      <c r="A1207" t="s">
        <v>1233</v>
      </c>
      <c r="B1207">
        <v>1206</v>
      </c>
      <c r="C1207">
        <v>23</v>
      </c>
      <c r="D1207" t="s">
        <v>16</v>
      </c>
      <c r="E1207" t="s">
        <v>30</v>
      </c>
      <c r="F1207">
        <v>2.71</v>
      </c>
      <c r="G1207">
        <v>4</v>
      </c>
      <c r="H1207">
        <v>88.4</v>
      </c>
      <c r="I1207">
        <v>0.99</v>
      </c>
      <c r="J1207" t="s">
        <v>28</v>
      </c>
      <c r="K1207">
        <v>21</v>
      </c>
      <c r="L1207">
        <v>25</v>
      </c>
      <c r="M1207">
        <v>0.83</v>
      </c>
      <c r="N1207">
        <v>8</v>
      </c>
      <c r="O1207">
        <v>0.97</v>
      </c>
      <c r="P1207" t="s">
        <v>24</v>
      </c>
    </row>
    <row r="1208" spans="1:16" x14ac:dyDescent="0.35">
      <c r="A1208" t="s">
        <v>1234</v>
      </c>
      <c r="B1208">
        <v>1207</v>
      </c>
      <c r="C1208">
        <v>22</v>
      </c>
      <c r="D1208" t="s">
        <v>16</v>
      </c>
      <c r="E1208" t="s">
        <v>22</v>
      </c>
      <c r="F1208">
        <v>2.09</v>
      </c>
      <c r="G1208">
        <v>6</v>
      </c>
      <c r="H1208">
        <v>60.8</v>
      </c>
      <c r="I1208">
        <v>0.87</v>
      </c>
      <c r="J1208" t="s">
        <v>28</v>
      </c>
      <c r="K1208">
        <v>30</v>
      </c>
      <c r="L1208">
        <v>63</v>
      </c>
      <c r="M1208">
        <v>0.86</v>
      </c>
      <c r="N1208">
        <v>9</v>
      </c>
      <c r="O1208">
        <v>0.78</v>
      </c>
      <c r="P1208" t="s">
        <v>19</v>
      </c>
    </row>
    <row r="1209" spans="1:16" x14ac:dyDescent="0.35">
      <c r="A1209" t="s">
        <v>1235</v>
      </c>
      <c r="B1209">
        <v>1208</v>
      </c>
      <c r="C1209">
        <v>23</v>
      </c>
      <c r="D1209" t="s">
        <v>32</v>
      </c>
      <c r="E1209" t="s">
        <v>30</v>
      </c>
      <c r="F1209">
        <v>2.44</v>
      </c>
      <c r="G1209">
        <v>3</v>
      </c>
      <c r="H1209">
        <v>76.8</v>
      </c>
      <c r="I1209">
        <v>0.62</v>
      </c>
      <c r="J1209" t="s">
        <v>18</v>
      </c>
      <c r="K1209">
        <v>22</v>
      </c>
      <c r="L1209">
        <v>62</v>
      </c>
      <c r="M1209">
        <v>0.57999999999999996</v>
      </c>
      <c r="N1209">
        <v>10</v>
      </c>
      <c r="O1209">
        <v>0.81</v>
      </c>
      <c r="P1209" t="s">
        <v>19</v>
      </c>
    </row>
    <row r="1210" spans="1:16" x14ac:dyDescent="0.35">
      <c r="A1210" t="s">
        <v>1236</v>
      </c>
      <c r="B1210">
        <v>1209</v>
      </c>
      <c r="C1210">
        <v>18</v>
      </c>
      <c r="D1210" t="s">
        <v>21</v>
      </c>
      <c r="E1210" t="s">
        <v>17</v>
      </c>
      <c r="F1210">
        <v>2.0299999999999998</v>
      </c>
      <c r="G1210">
        <v>5</v>
      </c>
      <c r="H1210">
        <v>91</v>
      </c>
      <c r="I1210">
        <v>0.73</v>
      </c>
      <c r="J1210" t="s">
        <v>18</v>
      </c>
      <c r="K1210">
        <v>18</v>
      </c>
      <c r="L1210">
        <v>21</v>
      </c>
      <c r="M1210">
        <v>0.94</v>
      </c>
      <c r="N1210">
        <v>0</v>
      </c>
      <c r="O1210">
        <v>0.53</v>
      </c>
      <c r="P1210" t="s">
        <v>19</v>
      </c>
    </row>
    <row r="1211" spans="1:16" x14ac:dyDescent="0.35">
      <c r="A1211" t="s">
        <v>1237</v>
      </c>
      <c r="B1211">
        <v>1210</v>
      </c>
      <c r="C1211">
        <v>22</v>
      </c>
      <c r="D1211" t="s">
        <v>32</v>
      </c>
      <c r="E1211" t="s">
        <v>46</v>
      </c>
      <c r="F1211">
        <v>3.16</v>
      </c>
      <c r="G1211">
        <v>4</v>
      </c>
      <c r="H1211">
        <v>73.5</v>
      </c>
      <c r="I1211">
        <v>0.85</v>
      </c>
      <c r="J1211" t="s">
        <v>18</v>
      </c>
      <c r="K1211">
        <v>3</v>
      </c>
      <c r="L1211">
        <v>29</v>
      </c>
      <c r="M1211">
        <v>0.57999999999999996</v>
      </c>
      <c r="N1211">
        <v>19</v>
      </c>
      <c r="O1211">
        <v>0.93</v>
      </c>
      <c r="P1211" t="s">
        <v>41</v>
      </c>
    </row>
    <row r="1212" spans="1:16" x14ac:dyDescent="0.35">
      <c r="A1212" t="s">
        <v>1238</v>
      </c>
      <c r="B1212">
        <v>1211</v>
      </c>
      <c r="C1212">
        <v>18</v>
      </c>
      <c r="D1212" t="s">
        <v>16</v>
      </c>
      <c r="E1212" t="s">
        <v>22</v>
      </c>
      <c r="F1212">
        <v>2.21</v>
      </c>
      <c r="G1212">
        <v>4</v>
      </c>
      <c r="H1212">
        <v>82.5</v>
      </c>
      <c r="I1212">
        <v>0.62</v>
      </c>
      <c r="J1212" t="s">
        <v>28</v>
      </c>
      <c r="K1212">
        <v>23</v>
      </c>
      <c r="L1212">
        <v>43</v>
      </c>
      <c r="M1212">
        <v>0.61</v>
      </c>
      <c r="N1212">
        <v>7</v>
      </c>
      <c r="O1212">
        <v>0.64</v>
      </c>
      <c r="P1212" t="s">
        <v>19</v>
      </c>
    </row>
    <row r="1213" spans="1:16" x14ac:dyDescent="0.35">
      <c r="A1213" t="s">
        <v>1239</v>
      </c>
      <c r="B1213">
        <v>1212</v>
      </c>
      <c r="C1213">
        <v>21</v>
      </c>
      <c r="D1213" t="s">
        <v>32</v>
      </c>
      <c r="E1213" t="s">
        <v>46</v>
      </c>
      <c r="F1213">
        <v>3.75</v>
      </c>
      <c r="G1213">
        <v>4</v>
      </c>
      <c r="H1213">
        <v>68.2</v>
      </c>
      <c r="I1213">
        <v>0.61</v>
      </c>
      <c r="J1213" t="s">
        <v>23</v>
      </c>
      <c r="K1213">
        <v>19</v>
      </c>
      <c r="L1213">
        <v>62</v>
      </c>
      <c r="M1213">
        <v>0.56000000000000005</v>
      </c>
      <c r="N1213">
        <v>19</v>
      </c>
      <c r="O1213">
        <v>0.81</v>
      </c>
      <c r="P1213" t="s">
        <v>19</v>
      </c>
    </row>
    <row r="1214" spans="1:16" x14ac:dyDescent="0.35">
      <c r="A1214" t="s">
        <v>1240</v>
      </c>
      <c r="B1214">
        <v>1213</v>
      </c>
      <c r="C1214">
        <v>19</v>
      </c>
      <c r="D1214" t="s">
        <v>21</v>
      </c>
      <c r="E1214" t="s">
        <v>22</v>
      </c>
      <c r="F1214">
        <v>3.05</v>
      </c>
      <c r="G1214">
        <v>3</v>
      </c>
      <c r="H1214">
        <v>89.7</v>
      </c>
      <c r="I1214">
        <v>0.78</v>
      </c>
      <c r="J1214" t="s">
        <v>18</v>
      </c>
      <c r="K1214">
        <v>38</v>
      </c>
      <c r="L1214">
        <v>73</v>
      </c>
      <c r="M1214">
        <v>0.72</v>
      </c>
      <c r="N1214">
        <v>11</v>
      </c>
      <c r="O1214">
        <v>0.99</v>
      </c>
      <c r="P1214" t="s">
        <v>24</v>
      </c>
    </row>
    <row r="1215" spans="1:16" x14ac:dyDescent="0.35">
      <c r="A1215" t="s">
        <v>1241</v>
      </c>
      <c r="B1215">
        <v>1214</v>
      </c>
      <c r="C1215">
        <v>23</v>
      </c>
      <c r="D1215" t="s">
        <v>16</v>
      </c>
      <c r="E1215" t="s">
        <v>30</v>
      </c>
      <c r="F1215">
        <v>3.4</v>
      </c>
      <c r="G1215">
        <v>5</v>
      </c>
      <c r="H1215">
        <v>62.1</v>
      </c>
      <c r="I1215">
        <v>0.73</v>
      </c>
      <c r="J1215" t="s">
        <v>18</v>
      </c>
      <c r="K1215">
        <v>27</v>
      </c>
      <c r="L1215">
        <v>32</v>
      </c>
      <c r="M1215">
        <v>0.94</v>
      </c>
      <c r="N1215">
        <v>0</v>
      </c>
      <c r="O1215">
        <v>0.8</v>
      </c>
      <c r="P1215" t="s">
        <v>19</v>
      </c>
    </row>
    <row r="1216" spans="1:16" x14ac:dyDescent="0.35">
      <c r="A1216" t="s">
        <v>1242</v>
      </c>
      <c r="B1216">
        <v>1215</v>
      </c>
      <c r="C1216">
        <v>19</v>
      </c>
      <c r="D1216" t="s">
        <v>32</v>
      </c>
      <c r="E1216" t="s">
        <v>30</v>
      </c>
      <c r="F1216">
        <v>2.82</v>
      </c>
      <c r="G1216">
        <v>3</v>
      </c>
      <c r="H1216">
        <v>94.1</v>
      </c>
      <c r="I1216">
        <v>0.78</v>
      </c>
      <c r="J1216" t="s">
        <v>28</v>
      </c>
      <c r="K1216">
        <v>38</v>
      </c>
      <c r="L1216">
        <v>36</v>
      </c>
      <c r="M1216">
        <v>0.63</v>
      </c>
      <c r="N1216">
        <v>9</v>
      </c>
      <c r="O1216">
        <v>0.86</v>
      </c>
      <c r="P1216" t="s">
        <v>24</v>
      </c>
    </row>
    <row r="1217" spans="1:16" x14ac:dyDescent="0.35">
      <c r="A1217" t="s">
        <v>1243</v>
      </c>
      <c r="B1217">
        <v>1216</v>
      </c>
      <c r="C1217">
        <v>18</v>
      </c>
      <c r="D1217" t="s">
        <v>21</v>
      </c>
      <c r="E1217" t="s">
        <v>30</v>
      </c>
      <c r="F1217">
        <v>3.12</v>
      </c>
      <c r="G1217">
        <v>3</v>
      </c>
      <c r="H1217">
        <v>67.900000000000006</v>
      </c>
      <c r="I1217">
        <v>0.71</v>
      </c>
      <c r="J1217" t="s">
        <v>18</v>
      </c>
      <c r="K1217">
        <v>16</v>
      </c>
      <c r="L1217">
        <v>26</v>
      </c>
      <c r="M1217">
        <v>0.69</v>
      </c>
      <c r="N1217">
        <v>3</v>
      </c>
      <c r="O1217">
        <v>0.72</v>
      </c>
      <c r="P1217" t="s">
        <v>19</v>
      </c>
    </row>
    <row r="1218" spans="1:16" x14ac:dyDescent="0.35">
      <c r="A1218" t="s">
        <v>1244</v>
      </c>
      <c r="B1218">
        <v>1217</v>
      </c>
      <c r="C1218">
        <v>23</v>
      </c>
      <c r="D1218" t="s">
        <v>16</v>
      </c>
      <c r="E1218" t="s">
        <v>30</v>
      </c>
      <c r="F1218">
        <v>3.89</v>
      </c>
      <c r="G1218">
        <v>3</v>
      </c>
      <c r="H1218">
        <v>95</v>
      </c>
      <c r="I1218">
        <v>0.67</v>
      </c>
      <c r="J1218" t="s">
        <v>23</v>
      </c>
      <c r="K1218">
        <v>18</v>
      </c>
      <c r="L1218">
        <v>57</v>
      </c>
      <c r="M1218">
        <v>0.92</v>
      </c>
      <c r="N1218">
        <v>14</v>
      </c>
      <c r="O1218">
        <v>0.53</v>
      </c>
      <c r="P1218" t="s">
        <v>19</v>
      </c>
    </row>
    <row r="1219" spans="1:16" x14ac:dyDescent="0.35">
      <c r="A1219" t="s">
        <v>1245</v>
      </c>
      <c r="B1219">
        <v>1218</v>
      </c>
      <c r="C1219">
        <v>19</v>
      </c>
      <c r="D1219" t="s">
        <v>21</v>
      </c>
      <c r="E1219" t="s">
        <v>30</v>
      </c>
      <c r="F1219">
        <v>2.17</v>
      </c>
      <c r="G1219">
        <v>6</v>
      </c>
      <c r="H1219">
        <v>74.099999999999994</v>
      </c>
      <c r="I1219">
        <v>0.88</v>
      </c>
      <c r="J1219" t="s">
        <v>28</v>
      </c>
      <c r="K1219">
        <v>34</v>
      </c>
      <c r="L1219">
        <v>30</v>
      </c>
      <c r="M1219">
        <v>0.81</v>
      </c>
      <c r="N1219">
        <v>18</v>
      </c>
      <c r="O1219">
        <v>0.9</v>
      </c>
      <c r="P1219" t="s">
        <v>19</v>
      </c>
    </row>
    <row r="1220" spans="1:16" x14ac:dyDescent="0.35">
      <c r="A1220" t="s">
        <v>1246</v>
      </c>
      <c r="B1220">
        <v>1219</v>
      </c>
      <c r="C1220">
        <v>22</v>
      </c>
      <c r="D1220" t="s">
        <v>16</v>
      </c>
      <c r="E1220" t="s">
        <v>46</v>
      </c>
      <c r="F1220">
        <v>2.5099999999999998</v>
      </c>
      <c r="G1220">
        <v>6</v>
      </c>
      <c r="H1220">
        <v>88.9</v>
      </c>
      <c r="I1220">
        <v>0.81</v>
      </c>
      <c r="J1220" t="s">
        <v>28</v>
      </c>
      <c r="K1220">
        <v>31</v>
      </c>
      <c r="L1220">
        <v>59</v>
      </c>
      <c r="M1220">
        <v>0.88</v>
      </c>
      <c r="N1220">
        <v>5</v>
      </c>
      <c r="O1220">
        <v>0.52</v>
      </c>
      <c r="P1220" t="s">
        <v>24</v>
      </c>
    </row>
    <row r="1221" spans="1:16" x14ac:dyDescent="0.35">
      <c r="A1221" t="s">
        <v>1247</v>
      </c>
      <c r="B1221">
        <v>1220</v>
      </c>
      <c r="C1221">
        <v>20</v>
      </c>
      <c r="D1221" t="s">
        <v>32</v>
      </c>
      <c r="E1221" t="s">
        <v>30</v>
      </c>
      <c r="F1221">
        <v>3.56</v>
      </c>
      <c r="G1221">
        <v>6</v>
      </c>
      <c r="H1221">
        <v>72.8</v>
      </c>
      <c r="I1221">
        <v>0.68</v>
      </c>
      <c r="J1221" t="s">
        <v>23</v>
      </c>
      <c r="K1221">
        <v>38</v>
      </c>
      <c r="L1221">
        <v>49</v>
      </c>
      <c r="M1221">
        <v>0.61</v>
      </c>
      <c r="N1221">
        <v>4</v>
      </c>
      <c r="O1221">
        <v>0.85</v>
      </c>
      <c r="P1221" t="s">
        <v>19</v>
      </c>
    </row>
    <row r="1222" spans="1:16" x14ac:dyDescent="0.35">
      <c r="A1222" t="s">
        <v>1248</v>
      </c>
      <c r="B1222">
        <v>1221</v>
      </c>
      <c r="C1222">
        <v>18</v>
      </c>
      <c r="D1222" t="s">
        <v>21</v>
      </c>
      <c r="E1222" t="s">
        <v>17</v>
      </c>
      <c r="F1222">
        <v>2.2000000000000002</v>
      </c>
      <c r="G1222">
        <v>5</v>
      </c>
      <c r="H1222">
        <v>96.2</v>
      </c>
      <c r="I1222">
        <v>0.73</v>
      </c>
      <c r="J1222" t="s">
        <v>23</v>
      </c>
      <c r="K1222">
        <v>34</v>
      </c>
      <c r="L1222">
        <v>12</v>
      </c>
      <c r="M1222">
        <v>0.86</v>
      </c>
      <c r="N1222">
        <v>4</v>
      </c>
      <c r="O1222">
        <v>0.51</v>
      </c>
      <c r="P1222" t="s">
        <v>19</v>
      </c>
    </row>
    <row r="1223" spans="1:16" x14ac:dyDescent="0.35">
      <c r="A1223" t="s">
        <v>1249</v>
      </c>
      <c r="B1223">
        <v>1222</v>
      </c>
      <c r="C1223">
        <v>19</v>
      </c>
      <c r="D1223" t="s">
        <v>16</v>
      </c>
      <c r="E1223" t="s">
        <v>17</v>
      </c>
      <c r="F1223">
        <v>2.15</v>
      </c>
      <c r="G1223">
        <v>3</v>
      </c>
      <c r="H1223">
        <v>65.099999999999994</v>
      </c>
      <c r="I1223">
        <v>0.84</v>
      </c>
      <c r="J1223" t="s">
        <v>23</v>
      </c>
      <c r="K1223">
        <v>29</v>
      </c>
      <c r="L1223">
        <v>26</v>
      </c>
      <c r="M1223">
        <v>0.61</v>
      </c>
      <c r="N1223">
        <v>17</v>
      </c>
      <c r="O1223">
        <v>0.93</v>
      </c>
      <c r="P1223" t="s">
        <v>19</v>
      </c>
    </row>
    <row r="1224" spans="1:16" x14ac:dyDescent="0.35">
      <c r="A1224" t="s">
        <v>1250</v>
      </c>
      <c r="B1224">
        <v>1223</v>
      </c>
      <c r="C1224">
        <v>18</v>
      </c>
      <c r="D1224" t="s">
        <v>21</v>
      </c>
      <c r="E1224" t="s">
        <v>46</v>
      </c>
      <c r="F1224">
        <v>2.72</v>
      </c>
      <c r="G1224">
        <v>3</v>
      </c>
      <c r="H1224">
        <v>67.099999999999994</v>
      </c>
      <c r="I1224">
        <v>0.63</v>
      </c>
      <c r="J1224" t="s">
        <v>18</v>
      </c>
      <c r="K1224">
        <v>16</v>
      </c>
      <c r="L1224">
        <v>70</v>
      </c>
      <c r="M1224">
        <v>0.99</v>
      </c>
      <c r="N1224">
        <v>2</v>
      </c>
      <c r="O1224">
        <v>0.57999999999999996</v>
      </c>
      <c r="P1224" t="s">
        <v>19</v>
      </c>
    </row>
    <row r="1225" spans="1:16" x14ac:dyDescent="0.35">
      <c r="A1225" t="s">
        <v>1251</v>
      </c>
      <c r="B1225">
        <v>1224</v>
      </c>
      <c r="C1225">
        <v>24</v>
      </c>
      <c r="D1225" t="s">
        <v>21</v>
      </c>
      <c r="E1225" t="s">
        <v>22</v>
      </c>
      <c r="F1225">
        <v>2.1800000000000002</v>
      </c>
      <c r="G1225">
        <v>6</v>
      </c>
      <c r="H1225">
        <v>79.7</v>
      </c>
      <c r="I1225">
        <v>0.66</v>
      </c>
      <c r="J1225" t="s">
        <v>23</v>
      </c>
      <c r="K1225">
        <v>28</v>
      </c>
      <c r="L1225">
        <v>59</v>
      </c>
      <c r="M1225">
        <v>0.78</v>
      </c>
      <c r="N1225">
        <v>1</v>
      </c>
      <c r="O1225">
        <v>0.76</v>
      </c>
      <c r="P1225" t="s">
        <v>19</v>
      </c>
    </row>
    <row r="1226" spans="1:16" x14ac:dyDescent="0.35">
      <c r="A1226" t="s">
        <v>1252</v>
      </c>
      <c r="B1226">
        <v>1225</v>
      </c>
      <c r="C1226">
        <v>18</v>
      </c>
      <c r="D1226" t="s">
        <v>32</v>
      </c>
      <c r="E1226" t="s">
        <v>17</v>
      </c>
      <c r="F1226">
        <v>3.17</v>
      </c>
      <c r="G1226">
        <v>3</v>
      </c>
      <c r="H1226">
        <v>63.3</v>
      </c>
      <c r="I1226">
        <v>0.63</v>
      </c>
      <c r="J1226" t="s">
        <v>28</v>
      </c>
      <c r="K1226">
        <v>5</v>
      </c>
      <c r="L1226">
        <v>15</v>
      </c>
      <c r="M1226">
        <v>0.85</v>
      </c>
      <c r="N1226">
        <v>3</v>
      </c>
      <c r="O1226">
        <v>0.8</v>
      </c>
      <c r="P1226" t="s">
        <v>19</v>
      </c>
    </row>
    <row r="1227" spans="1:16" x14ac:dyDescent="0.35">
      <c r="A1227" t="s">
        <v>1253</v>
      </c>
      <c r="B1227">
        <v>1226</v>
      </c>
      <c r="C1227">
        <v>23</v>
      </c>
      <c r="D1227" t="s">
        <v>21</v>
      </c>
      <c r="E1227" t="s">
        <v>22</v>
      </c>
      <c r="F1227">
        <v>2.4500000000000002</v>
      </c>
      <c r="G1227">
        <v>3</v>
      </c>
      <c r="H1227">
        <v>67.8</v>
      </c>
      <c r="I1227">
        <v>0.92</v>
      </c>
      <c r="J1227" t="s">
        <v>23</v>
      </c>
      <c r="K1227">
        <v>16</v>
      </c>
      <c r="L1227">
        <v>37</v>
      </c>
      <c r="M1227">
        <v>0.56000000000000005</v>
      </c>
      <c r="N1227">
        <v>17</v>
      </c>
      <c r="O1227">
        <v>0.73</v>
      </c>
      <c r="P1227" t="s">
        <v>19</v>
      </c>
    </row>
    <row r="1228" spans="1:16" x14ac:dyDescent="0.35">
      <c r="A1228" t="s">
        <v>1254</v>
      </c>
      <c r="B1228">
        <v>1227</v>
      </c>
      <c r="C1228">
        <v>24</v>
      </c>
      <c r="D1228" t="s">
        <v>16</v>
      </c>
      <c r="E1228" t="s">
        <v>46</v>
      </c>
      <c r="F1228">
        <v>3.79</v>
      </c>
      <c r="G1228">
        <v>4</v>
      </c>
      <c r="H1228">
        <v>97.8</v>
      </c>
      <c r="I1228">
        <v>0.9</v>
      </c>
      <c r="J1228" t="s">
        <v>28</v>
      </c>
      <c r="K1228">
        <v>16</v>
      </c>
      <c r="L1228">
        <v>81</v>
      </c>
      <c r="M1228">
        <v>0.63</v>
      </c>
      <c r="N1228">
        <v>8</v>
      </c>
      <c r="O1228">
        <v>0.67</v>
      </c>
      <c r="P1228" t="s">
        <v>41</v>
      </c>
    </row>
    <row r="1229" spans="1:16" x14ac:dyDescent="0.35">
      <c r="A1229" t="s">
        <v>1255</v>
      </c>
      <c r="B1229">
        <v>1228</v>
      </c>
      <c r="C1229">
        <v>25</v>
      </c>
      <c r="D1229" t="s">
        <v>16</v>
      </c>
      <c r="E1229" t="s">
        <v>22</v>
      </c>
      <c r="F1229">
        <v>3.57</v>
      </c>
      <c r="G1229">
        <v>3</v>
      </c>
      <c r="H1229">
        <v>99.1</v>
      </c>
      <c r="I1229">
        <v>0.9</v>
      </c>
      <c r="J1229" t="s">
        <v>28</v>
      </c>
      <c r="K1229">
        <v>13</v>
      </c>
      <c r="L1229">
        <v>64</v>
      </c>
      <c r="M1229">
        <v>0.56999999999999995</v>
      </c>
      <c r="N1229">
        <v>18</v>
      </c>
      <c r="O1229">
        <v>0.73</v>
      </c>
      <c r="P1229" t="s">
        <v>41</v>
      </c>
    </row>
    <row r="1230" spans="1:16" x14ac:dyDescent="0.35">
      <c r="A1230" t="s">
        <v>1256</v>
      </c>
      <c r="B1230">
        <v>1229</v>
      </c>
      <c r="C1230">
        <v>23</v>
      </c>
      <c r="D1230" t="s">
        <v>16</v>
      </c>
      <c r="E1230" t="s">
        <v>22</v>
      </c>
      <c r="F1230">
        <v>3.4</v>
      </c>
      <c r="G1230">
        <v>4</v>
      </c>
      <c r="H1230">
        <v>75.099999999999994</v>
      </c>
      <c r="I1230">
        <v>0.89</v>
      </c>
      <c r="J1230" t="s">
        <v>18</v>
      </c>
      <c r="K1230">
        <v>23</v>
      </c>
      <c r="L1230">
        <v>67</v>
      </c>
      <c r="M1230">
        <v>0.7</v>
      </c>
      <c r="N1230">
        <v>9</v>
      </c>
      <c r="O1230">
        <v>0.66</v>
      </c>
      <c r="P1230" t="s">
        <v>41</v>
      </c>
    </row>
    <row r="1231" spans="1:16" x14ac:dyDescent="0.35">
      <c r="A1231" t="s">
        <v>1257</v>
      </c>
      <c r="B1231">
        <v>1230</v>
      </c>
      <c r="C1231">
        <v>20</v>
      </c>
      <c r="D1231" t="s">
        <v>16</v>
      </c>
      <c r="E1231" t="s">
        <v>22</v>
      </c>
      <c r="F1231">
        <v>3.23</v>
      </c>
      <c r="G1231">
        <v>3</v>
      </c>
      <c r="H1231">
        <v>96.9</v>
      </c>
      <c r="I1231">
        <v>0.87</v>
      </c>
      <c r="J1231" t="s">
        <v>23</v>
      </c>
      <c r="K1231">
        <v>36</v>
      </c>
      <c r="L1231">
        <v>54</v>
      </c>
      <c r="M1231">
        <v>0.64</v>
      </c>
      <c r="N1231">
        <v>14</v>
      </c>
      <c r="O1231">
        <v>0.72</v>
      </c>
      <c r="P1231" t="s">
        <v>41</v>
      </c>
    </row>
    <row r="1232" spans="1:16" x14ac:dyDescent="0.35">
      <c r="A1232" t="s">
        <v>1258</v>
      </c>
      <c r="B1232">
        <v>1231</v>
      </c>
      <c r="C1232">
        <v>24</v>
      </c>
      <c r="D1232" t="s">
        <v>32</v>
      </c>
      <c r="E1232" t="s">
        <v>22</v>
      </c>
      <c r="F1232">
        <v>3.73</v>
      </c>
      <c r="G1232">
        <v>5</v>
      </c>
      <c r="H1232">
        <v>81.8</v>
      </c>
      <c r="I1232">
        <v>0.79</v>
      </c>
      <c r="J1232" t="s">
        <v>18</v>
      </c>
      <c r="K1232">
        <v>39</v>
      </c>
      <c r="L1232">
        <v>81</v>
      </c>
      <c r="M1232">
        <v>0.87</v>
      </c>
      <c r="N1232">
        <v>0</v>
      </c>
      <c r="O1232">
        <v>0.68</v>
      </c>
      <c r="P1232" t="s">
        <v>24</v>
      </c>
    </row>
    <row r="1233" spans="1:16" x14ac:dyDescent="0.35">
      <c r="A1233" t="s">
        <v>1259</v>
      </c>
      <c r="B1233">
        <v>1232</v>
      </c>
      <c r="C1233">
        <v>25</v>
      </c>
      <c r="D1233" t="s">
        <v>21</v>
      </c>
      <c r="E1233" t="s">
        <v>46</v>
      </c>
      <c r="F1233">
        <v>2.4500000000000002</v>
      </c>
      <c r="G1233">
        <v>6</v>
      </c>
      <c r="H1233">
        <v>70.8</v>
      </c>
      <c r="I1233">
        <v>0.86</v>
      </c>
      <c r="J1233" t="s">
        <v>23</v>
      </c>
      <c r="K1233">
        <v>38</v>
      </c>
      <c r="L1233">
        <v>28</v>
      </c>
      <c r="M1233">
        <v>0.55000000000000004</v>
      </c>
      <c r="N1233">
        <v>10</v>
      </c>
      <c r="O1233">
        <v>0.78</v>
      </c>
      <c r="P1233" t="s">
        <v>19</v>
      </c>
    </row>
    <row r="1234" spans="1:16" x14ac:dyDescent="0.35">
      <c r="A1234" t="s">
        <v>1260</v>
      </c>
      <c r="B1234">
        <v>1233</v>
      </c>
      <c r="C1234">
        <v>22</v>
      </c>
      <c r="D1234" t="s">
        <v>32</v>
      </c>
      <c r="E1234" t="s">
        <v>17</v>
      </c>
      <c r="F1234">
        <v>3.75</v>
      </c>
      <c r="G1234">
        <v>4</v>
      </c>
      <c r="H1234">
        <v>88.1</v>
      </c>
      <c r="I1234">
        <v>0.62</v>
      </c>
      <c r="J1234" t="s">
        <v>23</v>
      </c>
      <c r="K1234">
        <v>31</v>
      </c>
      <c r="L1234">
        <v>38</v>
      </c>
      <c r="M1234">
        <v>0.88</v>
      </c>
      <c r="N1234">
        <v>13</v>
      </c>
      <c r="O1234">
        <v>0.62</v>
      </c>
      <c r="P1234" t="s">
        <v>19</v>
      </c>
    </row>
    <row r="1235" spans="1:16" x14ac:dyDescent="0.35">
      <c r="A1235" t="s">
        <v>1261</v>
      </c>
      <c r="B1235">
        <v>1234</v>
      </c>
      <c r="C1235">
        <v>18</v>
      </c>
      <c r="D1235" t="s">
        <v>21</v>
      </c>
      <c r="E1235" t="s">
        <v>30</v>
      </c>
      <c r="F1235">
        <v>3.58</v>
      </c>
      <c r="G1235">
        <v>6</v>
      </c>
      <c r="H1235">
        <v>86.4</v>
      </c>
      <c r="I1235">
        <v>0.85</v>
      </c>
      <c r="J1235" t="s">
        <v>23</v>
      </c>
      <c r="K1235">
        <v>35</v>
      </c>
      <c r="L1235">
        <v>32</v>
      </c>
      <c r="M1235">
        <v>0.52</v>
      </c>
      <c r="N1235">
        <v>9</v>
      </c>
      <c r="O1235">
        <v>0.99</v>
      </c>
      <c r="P1235" t="s">
        <v>41</v>
      </c>
    </row>
    <row r="1236" spans="1:16" x14ac:dyDescent="0.35">
      <c r="A1236" t="s">
        <v>1262</v>
      </c>
      <c r="B1236">
        <v>1235</v>
      </c>
      <c r="C1236">
        <v>19</v>
      </c>
      <c r="D1236" t="s">
        <v>21</v>
      </c>
      <c r="E1236" t="s">
        <v>22</v>
      </c>
      <c r="F1236">
        <v>3.5</v>
      </c>
      <c r="G1236">
        <v>4</v>
      </c>
      <c r="H1236">
        <v>99.6</v>
      </c>
      <c r="I1236">
        <v>0.91</v>
      </c>
      <c r="J1236" t="s">
        <v>23</v>
      </c>
      <c r="K1236">
        <v>36</v>
      </c>
      <c r="L1236">
        <v>41</v>
      </c>
      <c r="M1236">
        <v>0.6</v>
      </c>
      <c r="N1236">
        <v>18</v>
      </c>
      <c r="O1236">
        <v>0.75</v>
      </c>
      <c r="P1236" t="s">
        <v>41</v>
      </c>
    </row>
    <row r="1237" spans="1:16" x14ac:dyDescent="0.35">
      <c r="A1237" t="s">
        <v>1263</v>
      </c>
      <c r="B1237">
        <v>1236</v>
      </c>
      <c r="C1237">
        <v>21</v>
      </c>
      <c r="D1237" t="s">
        <v>21</v>
      </c>
      <c r="E1237" t="s">
        <v>17</v>
      </c>
      <c r="F1237">
        <v>3.12</v>
      </c>
      <c r="G1237">
        <v>4</v>
      </c>
      <c r="H1237">
        <v>70.599999999999994</v>
      </c>
      <c r="I1237">
        <v>0.8</v>
      </c>
      <c r="J1237" t="s">
        <v>23</v>
      </c>
      <c r="K1237">
        <v>13</v>
      </c>
      <c r="L1237">
        <v>19</v>
      </c>
      <c r="M1237">
        <v>0.9</v>
      </c>
      <c r="N1237">
        <v>15</v>
      </c>
      <c r="O1237">
        <v>0.6</v>
      </c>
      <c r="P1237" t="s">
        <v>24</v>
      </c>
    </row>
    <row r="1238" spans="1:16" x14ac:dyDescent="0.35">
      <c r="A1238" t="s">
        <v>1264</v>
      </c>
      <c r="B1238">
        <v>1237</v>
      </c>
      <c r="C1238">
        <v>18</v>
      </c>
      <c r="D1238" t="s">
        <v>32</v>
      </c>
      <c r="E1238" t="s">
        <v>17</v>
      </c>
      <c r="F1238">
        <v>2.4900000000000002</v>
      </c>
      <c r="G1238">
        <v>4</v>
      </c>
      <c r="H1238">
        <v>86.9</v>
      </c>
      <c r="I1238">
        <v>0.74</v>
      </c>
      <c r="J1238" t="s">
        <v>28</v>
      </c>
      <c r="K1238">
        <v>26</v>
      </c>
      <c r="L1238">
        <v>58</v>
      </c>
      <c r="M1238">
        <v>0.87</v>
      </c>
      <c r="N1238">
        <v>7</v>
      </c>
      <c r="O1238">
        <v>0.74</v>
      </c>
      <c r="P1238" t="s">
        <v>19</v>
      </c>
    </row>
    <row r="1239" spans="1:16" x14ac:dyDescent="0.35">
      <c r="A1239" t="s">
        <v>1265</v>
      </c>
      <c r="B1239">
        <v>1238</v>
      </c>
      <c r="C1239">
        <v>25</v>
      </c>
      <c r="D1239" t="s">
        <v>21</v>
      </c>
      <c r="E1239" t="s">
        <v>46</v>
      </c>
      <c r="F1239">
        <v>2.85</v>
      </c>
      <c r="G1239">
        <v>5</v>
      </c>
      <c r="H1239">
        <v>62.1</v>
      </c>
      <c r="I1239">
        <v>0.71</v>
      </c>
      <c r="J1239" t="s">
        <v>28</v>
      </c>
      <c r="K1239">
        <v>18</v>
      </c>
      <c r="L1239">
        <v>74</v>
      </c>
      <c r="M1239">
        <v>0.74</v>
      </c>
      <c r="N1239">
        <v>1</v>
      </c>
      <c r="O1239">
        <v>0.93</v>
      </c>
      <c r="P1239" t="s">
        <v>19</v>
      </c>
    </row>
    <row r="1240" spans="1:16" x14ac:dyDescent="0.35">
      <c r="A1240" t="s">
        <v>1266</v>
      </c>
      <c r="B1240">
        <v>1239</v>
      </c>
      <c r="C1240">
        <v>18</v>
      </c>
      <c r="D1240" t="s">
        <v>32</v>
      </c>
      <c r="E1240" t="s">
        <v>17</v>
      </c>
      <c r="F1240">
        <v>3.59</v>
      </c>
      <c r="G1240">
        <v>3</v>
      </c>
      <c r="H1240">
        <v>64.5</v>
      </c>
      <c r="I1240">
        <v>0.86</v>
      </c>
      <c r="J1240" t="s">
        <v>23</v>
      </c>
      <c r="K1240">
        <v>30</v>
      </c>
      <c r="L1240">
        <v>38</v>
      </c>
      <c r="M1240">
        <v>0.52</v>
      </c>
      <c r="N1240">
        <v>6</v>
      </c>
      <c r="O1240">
        <v>0.51</v>
      </c>
      <c r="P1240" t="s">
        <v>41</v>
      </c>
    </row>
    <row r="1241" spans="1:16" x14ac:dyDescent="0.35">
      <c r="A1241" t="s">
        <v>1267</v>
      </c>
      <c r="B1241">
        <v>1240</v>
      </c>
      <c r="C1241">
        <v>20</v>
      </c>
      <c r="D1241" t="s">
        <v>16</v>
      </c>
      <c r="E1241" t="s">
        <v>46</v>
      </c>
      <c r="F1241">
        <v>2.06</v>
      </c>
      <c r="G1241">
        <v>4</v>
      </c>
      <c r="H1241">
        <v>60.2</v>
      </c>
      <c r="I1241">
        <v>0.88</v>
      </c>
      <c r="J1241" t="s">
        <v>28</v>
      </c>
      <c r="K1241">
        <v>8</v>
      </c>
      <c r="L1241">
        <v>68</v>
      </c>
      <c r="M1241">
        <v>0.8</v>
      </c>
      <c r="N1241">
        <v>18</v>
      </c>
      <c r="O1241">
        <v>0.84</v>
      </c>
      <c r="P1241" t="s">
        <v>19</v>
      </c>
    </row>
    <row r="1242" spans="1:16" x14ac:dyDescent="0.35">
      <c r="A1242" t="s">
        <v>1268</v>
      </c>
      <c r="B1242">
        <v>1241</v>
      </c>
      <c r="C1242">
        <v>22</v>
      </c>
      <c r="D1242" t="s">
        <v>16</v>
      </c>
      <c r="E1242" t="s">
        <v>22</v>
      </c>
      <c r="F1242">
        <v>3.56</v>
      </c>
      <c r="G1242">
        <v>5</v>
      </c>
      <c r="H1242">
        <v>100</v>
      </c>
      <c r="I1242">
        <v>0.95</v>
      </c>
      <c r="J1242" t="s">
        <v>18</v>
      </c>
      <c r="K1242">
        <v>37</v>
      </c>
      <c r="L1242">
        <v>54</v>
      </c>
      <c r="M1242">
        <v>0.7</v>
      </c>
      <c r="N1242">
        <v>6</v>
      </c>
      <c r="O1242">
        <v>0.77</v>
      </c>
      <c r="P1242" t="s">
        <v>41</v>
      </c>
    </row>
    <row r="1243" spans="1:16" x14ac:dyDescent="0.35">
      <c r="A1243" t="s">
        <v>1269</v>
      </c>
      <c r="B1243">
        <v>1242</v>
      </c>
      <c r="C1243">
        <v>21</v>
      </c>
      <c r="D1243" t="s">
        <v>21</v>
      </c>
      <c r="E1243" t="s">
        <v>22</v>
      </c>
      <c r="F1243">
        <v>2.48</v>
      </c>
      <c r="G1243">
        <v>4</v>
      </c>
      <c r="H1243">
        <v>92.1</v>
      </c>
      <c r="I1243">
        <v>0.74</v>
      </c>
      <c r="J1243" t="s">
        <v>18</v>
      </c>
      <c r="K1243">
        <v>16</v>
      </c>
      <c r="L1243">
        <v>76</v>
      </c>
      <c r="M1243">
        <v>0.66</v>
      </c>
      <c r="N1243">
        <v>14</v>
      </c>
      <c r="O1243">
        <v>0.57999999999999996</v>
      </c>
      <c r="P1243" t="s">
        <v>19</v>
      </c>
    </row>
    <row r="1244" spans="1:16" x14ac:dyDescent="0.35">
      <c r="A1244" t="s">
        <v>1270</v>
      </c>
      <c r="B1244">
        <v>1243</v>
      </c>
      <c r="C1244">
        <v>24</v>
      </c>
      <c r="D1244" t="s">
        <v>32</v>
      </c>
      <c r="E1244" t="s">
        <v>30</v>
      </c>
      <c r="F1244">
        <v>2.29</v>
      </c>
      <c r="G1244">
        <v>3</v>
      </c>
      <c r="H1244">
        <v>91.5</v>
      </c>
      <c r="I1244">
        <v>0.91</v>
      </c>
      <c r="J1244" t="s">
        <v>18</v>
      </c>
      <c r="K1244">
        <v>18</v>
      </c>
      <c r="L1244">
        <v>60</v>
      </c>
      <c r="M1244">
        <v>0.82</v>
      </c>
      <c r="N1244">
        <v>7</v>
      </c>
      <c r="O1244">
        <v>0.91</v>
      </c>
      <c r="P1244" t="s">
        <v>19</v>
      </c>
    </row>
    <row r="1245" spans="1:16" x14ac:dyDescent="0.35">
      <c r="A1245" t="s">
        <v>1271</v>
      </c>
      <c r="B1245">
        <v>1244</v>
      </c>
      <c r="C1245">
        <v>24</v>
      </c>
      <c r="D1245" t="s">
        <v>16</v>
      </c>
      <c r="E1245" t="s">
        <v>30</v>
      </c>
      <c r="F1245">
        <v>2.23</v>
      </c>
      <c r="G1245">
        <v>4</v>
      </c>
      <c r="H1245">
        <v>80.400000000000006</v>
      </c>
      <c r="I1245">
        <v>0.82</v>
      </c>
      <c r="J1245" t="s">
        <v>23</v>
      </c>
      <c r="K1245">
        <v>3</v>
      </c>
      <c r="L1245">
        <v>20</v>
      </c>
      <c r="M1245">
        <v>0.72</v>
      </c>
      <c r="N1245">
        <v>13</v>
      </c>
      <c r="O1245">
        <v>0.68</v>
      </c>
      <c r="P1245" t="s">
        <v>19</v>
      </c>
    </row>
    <row r="1246" spans="1:16" x14ac:dyDescent="0.35">
      <c r="A1246" t="s">
        <v>1272</v>
      </c>
      <c r="B1246">
        <v>1245</v>
      </c>
      <c r="C1246">
        <v>24</v>
      </c>
      <c r="D1246" t="s">
        <v>32</v>
      </c>
      <c r="E1246" t="s">
        <v>30</v>
      </c>
      <c r="F1246">
        <v>2.0499999999999998</v>
      </c>
      <c r="G1246">
        <v>5</v>
      </c>
      <c r="H1246">
        <v>72</v>
      </c>
      <c r="I1246">
        <v>0.95</v>
      </c>
      <c r="J1246" t="s">
        <v>23</v>
      </c>
      <c r="K1246">
        <v>10</v>
      </c>
      <c r="L1246">
        <v>15</v>
      </c>
      <c r="M1246">
        <v>0.55000000000000004</v>
      </c>
      <c r="N1246">
        <v>0</v>
      </c>
      <c r="O1246">
        <v>0.65</v>
      </c>
      <c r="P1246" t="s">
        <v>19</v>
      </c>
    </row>
    <row r="1247" spans="1:16" x14ac:dyDescent="0.35">
      <c r="A1247" t="s">
        <v>1273</v>
      </c>
      <c r="B1247">
        <v>1246</v>
      </c>
      <c r="C1247">
        <v>25</v>
      </c>
      <c r="D1247" t="s">
        <v>32</v>
      </c>
      <c r="E1247" t="s">
        <v>17</v>
      </c>
      <c r="F1247">
        <v>3.05</v>
      </c>
      <c r="G1247">
        <v>3</v>
      </c>
      <c r="H1247">
        <v>66.099999999999994</v>
      </c>
      <c r="I1247">
        <v>0.81</v>
      </c>
      <c r="J1247" t="s">
        <v>28</v>
      </c>
      <c r="K1247">
        <v>21</v>
      </c>
      <c r="L1247">
        <v>76</v>
      </c>
      <c r="M1247">
        <v>0.96</v>
      </c>
      <c r="N1247">
        <v>12</v>
      </c>
      <c r="O1247">
        <v>0.91</v>
      </c>
      <c r="P1247" t="s">
        <v>24</v>
      </c>
    </row>
    <row r="1248" spans="1:16" x14ac:dyDescent="0.35">
      <c r="A1248" t="s">
        <v>1274</v>
      </c>
      <c r="B1248">
        <v>1247</v>
      </c>
      <c r="C1248">
        <v>23</v>
      </c>
      <c r="D1248" t="s">
        <v>21</v>
      </c>
      <c r="E1248" t="s">
        <v>22</v>
      </c>
      <c r="F1248">
        <v>2.44</v>
      </c>
      <c r="G1248">
        <v>5</v>
      </c>
      <c r="H1248">
        <v>71.400000000000006</v>
      </c>
      <c r="I1248">
        <v>0.81</v>
      </c>
      <c r="J1248" t="s">
        <v>28</v>
      </c>
      <c r="K1248">
        <v>3</v>
      </c>
      <c r="L1248">
        <v>71</v>
      </c>
      <c r="M1248">
        <v>0.89</v>
      </c>
      <c r="N1248">
        <v>2</v>
      </c>
      <c r="O1248">
        <v>0.82</v>
      </c>
      <c r="P1248" t="s">
        <v>19</v>
      </c>
    </row>
    <row r="1249" spans="1:16" x14ac:dyDescent="0.35">
      <c r="A1249" t="s">
        <v>1275</v>
      </c>
      <c r="B1249">
        <v>1248</v>
      </c>
      <c r="C1249">
        <v>23</v>
      </c>
      <c r="D1249" t="s">
        <v>16</v>
      </c>
      <c r="E1249" t="s">
        <v>46</v>
      </c>
      <c r="F1249">
        <v>3.98</v>
      </c>
      <c r="G1249">
        <v>3</v>
      </c>
      <c r="H1249">
        <v>75</v>
      </c>
      <c r="I1249">
        <v>0.83</v>
      </c>
      <c r="J1249" t="s">
        <v>28</v>
      </c>
      <c r="K1249">
        <v>16</v>
      </c>
      <c r="L1249">
        <v>14</v>
      </c>
      <c r="M1249">
        <v>0.53</v>
      </c>
      <c r="N1249">
        <v>5</v>
      </c>
      <c r="O1249">
        <v>0.95</v>
      </c>
      <c r="P1249" t="s">
        <v>24</v>
      </c>
    </row>
    <row r="1250" spans="1:16" x14ac:dyDescent="0.35">
      <c r="A1250" t="s">
        <v>1276</v>
      </c>
      <c r="B1250">
        <v>1249</v>
      </c>
      <c r="C1250">
        <v>19</v>
      </c>
      <c r="D1250" t="s">
        <v>21</v>
      </c>
      <c r="E1250" t="s">
        <v>30</v>
      </c>
      <c r="F1250">
        <v>3.15</v>
      </c>
      <c r="G1250">
        <v>3</v>
      </c>
      <c r="H1250">
        <v>90.3</v>
      </c>
      <c r="I1250">
        <v>0.9</v>
      </c>
      <c r="J1250" t="s">
        <v>18</v>
      </c>
      <c r="K1250">
        <v>7</v>
      </c>
      <c r="L1250">
        <v>18</v>
      </c>
      <c r="M1250">
        <v>0.76</v>
      </c>
      <c r="N1250">
        <v>18</v>
      </c>
      <c r="O1250">
        <v>0.81</v>
      </c>
      <c r="P1250" t="s">
        <v>41</v>
      </c>
    </row>
    <row r="1251" spans="1:16" x14ac:dyDescent="0.35">
      <c r="A1251" t="s">
        <v>1277</v>
      </c>
      <c r="B1251">
        <v>1250</v>
      </c>
      <c r="C1251">
        <v>21</v>
      </c>
      <c r="D1251" t="s">
        <v>21</v>
      </c>
      <c r="E1251" t="s">
        <v>46</v>
      </c>
      <c r="F1251">
        <v>2.2799999999999998</v>
      </c>
      <c r="G1251">
        <v>6</v>
      </c>
      <c r="H1251">
        <v>81.599999999999994</v>
      </c>
      <c r="I1251">
        <v>0.99</v>
      </c>
      <c r="J1251" t="s">
        <v>18</v>
      </c>
      <c r="K1251">
        <v>33</v>
      </c>
      <c r="L1251">
        <v>37</v>
      </c>
      <c r="M1251">
        <v>0.54</v>
      </c>
      <c r="N1251">
        <v>14</v>
      </c>
      <c r="O1251">
        <v>0.87</v>
      </c>
      <c r="P1251" t="s">
        <v>19</v>
      </c>
    </row>
    <row r="1252" spans="1:16" x14ac:dyDescent="0.35">
      <c r="A1252" t="s">
        <v>1278</v>
      </c>
      <c r="B1252">
        <v>1251</v>
      </c>
      <c r="C1252">
        <v>24</v>
      </c>
      <c r="D1252" t="s">
        <v>16</v>
      </c>
      <c r="E1252" t="s">
        <v>46</v>
      </c>
      <c r="F1252">
        <v>3.38</v>
      </c>
      <c r="G1252">
        <v>6</v>
      </c>
      <c r="H1252">
        <v>63.1</v>
      </c>
      <c r="I1252">
        <v>0.63</v>
      </c>
      <c r="J1252" t="s">
        <v>18</v>
      </c>
      <c r="K1252">
        <v>10</v>
      </c>
      <c r="L1252">
        <v>86</v>
      </c>
      <c r="M1252">
        <v>0.92</v>
      </c>
      <c r="N1252">
        <v>3</v>
      </c>
      <c r="O1252">
        <v>0.92</v>
      </c>
      <c r="P1252" t="s">
        <v>19</v>
      </c>
    </row>
    <row r="1253" spans="1:16" x14ac:dyDescent="0.35">
      <c r="A1253" t="s">
        <v>1279</v>
      </c>
      <c r="B1253">
        <v>1252</v>
      </c>
      <c r="C1253">
        <v>23</v>
      </c>
      <c r="D1253" t="s">
        <v>16</v>
      </c>
      <c r="E1253" t="s">
        <v>30</v>
      </c>
      <c r="F1253">
        <v>3.8</v>
      </c>
      <c r="G1253">
        <v>6</v>
      </c>
      <c r="H1253">
        <v>60.7</v>
      </c>
      <c r="I1253">
        <v>0.62</v>
      </c>
      <c r="J1253" t="s">
        <v>18</v>
      </c>
      <c r="K1253">
        <v>30</v>
      </c>
      <c r="L1253">
        <v>47</v>
      </c>
      <c r="M1253">
        <v>0.81</v>
      </c>
      <c r="N1253">
        <v>2</v>
      </c>
      <c r="O1253">
        <v>0.53</v>
      </c>
      <c r="P1253" t="s">
        <v>19</v>
      </c>
    </row>
    <row r="1254" spans="1:16" x14ac:dyDescent="0.35">
      <c r="A1254" t="s">
        <v>1280</v>
      </c>
      <c r="B1254">
        <v>1253</v>
      </c>
      <c r="C1254">
        <v>25</v>
      </c>
      <c r="D1254" t="s">
        <v>32</v>
      </c>
      <c r="E1254" t="s">
        <v>22</v>
      </c>
      <c r="F1254">
        <v>3.49</v>
      </c>
      <c r="G1254">
        <v>3</v>
      </c>
      <c r="H1254">
        <v>64.099999999999994</v>
      </c>
      <c r="I1254">
        <v>0.98</v>
      </c>
      <c r="J1254" t="s">
        <v>28</v>
      </c>
      <c r="K1254">
        <v>10</v>
      </c>
      <c r="L1254">
        <v>52</v>
      </c>
      <c r="M1254">
        <v>0.59</v>
      </c>
      <c r="N1254">
        <v>3</v>
      </c>
      <c r="O1254">
        <v>0.89</v>
      </c>
      <c r="P1254" t="s">
        <v>41</v>
      </c>
    </row>
    <row r="1255" spans="1:16" x14ac:dyDescent="0.35">
      <c r="A1255" t="s">
        <v>1281</v>
      </c>
      <c r="B1255">
        <v>1254</v>
      </c>
      <c r="C1255">
        <v>19</v>
      </c>
      <c r="D1255" t="s">
        <v>16</v>
      </c>
      <c r="E1255" t="s">
        <v>30</v>
      </c>
      <c r="F1255">
        <v>2.15</v>
      </c>
      <c r="G1255">
        <v>4</v>
      </c>
      <c r="H1255">
        <v>76.400000000000006</v>
      </c>
      <c r="I1255">
        <v>0.81</v>
      </c>
      <c r="J1255" t="s">
        <v>23</v>
      </c>
      <c r="K1255">
        <v>37</v>
      </c>
      <c r="L1255">
        <v>30</v>
      </c>
      <c r="M1255">
        <v>0.51</v>
      </c>
      <c r="N1255">
        <v>4</v>
      </c>
      <c r="O1255">
        <v>0.81</v>
      </c>
      <c r="P1255" t="s">
        <v>19</v>
      </c>
    </row>
    <row r="1256" spans="1:16" x14ac:dyDescent="0.35">
      <c r="A1256" t="s">
        <v>1282</v>
      </c>
      <c r="B1256">
        <v>1255</v>
      </c>
      <c r="C1256">
        <v>22</v>
      </c>
      <c r="D1256" t="s">
        <v>32</v>
      </c>
      <c r="E1256" t="s">
        <v>46</v>
      </c>
      <c r="F1256">
        <v>3.79</v>
      </c>
      <c r="G1256">
        <v>5</v>
      </c>
      <c r="H1256">
        <v>97.3</v>
      </c>
      <c r="I1256">
        <v>0.85</v>
      </c>
      <c r="J1256" t="s">
        <v>23</v>
      </c>
      <c r="K1256">
        <v>20</v>
      </c>
      <c r="L1256">
        <v>71</v>
      </c>
      <c r="M1256">
        <v>0.52</v>
      </c>
      <c r="N1256">
        <v>17</v>
      </c>
      <c r="O1256">
        <v>0.53</v>
      </c>
      <c r="P1256" t="s">
        <v>41</v>
      </c>
    </row>
    <row r="1257" spans="1:16" x14ac:dyDescent="0.35">
      <c r="A1257" t="s">
        <v>1283</v>
      </c>
      <c r="B1257">
        <v>1256</v>
      </c>
      <c r="C1257">
        <v>19</v>
      </c>
      <c r="D1257" t="s">
        <v>32</v>
      </c>
      <c r="E1257" t="s">
        <v>30</v>
      </c>
      <c r="F1257">
        <v>3.59</v>
      </c>
      <c r="G1257">
        <v>5</v>
      </c>
      <c r="H1257">
        <v>85.5</v>
      </c>
      <c r="I1257">
        <v>0.79</v>
      </c>
      <c r="J1257" t="s">
        <v>18</v>
      </c>
      <c r="K1257">
        <v>29</v>
      </c>
      <c r="L1257">
        <v>55</v>
      </c>
      <c r="M1257">
        <v>0.75</v>
      </c>
      <c r="N1257">
        <v>9</v>
      </c>
      <c r="O1257">
        <v>0.75</v>
      </c>
      <c r="P1257" t="s">
        <v>24</v>
      </c>
    </row>
    <row r="1258" spans="1:16" x14ac:dyDescent="0.35">
      <c r="A1258" t="s">
        <v>1284</v>
      </c>
      <c r="B1258">
        <v>1257</v>
      </c>
      <c r="C1258">
        <v>23</v>
      </c>
      <c r="D1258" t="s">
        <v>32</v>
      </c>
      <c r="E1258" t="s">
        <v>46</v>
      </c>
      <c r="F1258">
        <v>2.3199999999999998</v>
      </c>
      <c r="G1258">
        <v>5</v>
      </c>
      <c r="H1258">
        <v>92.1</v>
      </c>
      <c r="I1258">
        <v>0.64</v>
      </c>
      <c r="J1258" t="s">
        <v>23</v>
      </c>
      <c r="K1258">
        <v>9</v>
      </c>
      <c r="L1258">
        <v>79</v>
      </c>
      <c r="M1258">
        <v>0.87</v>
      </c>
      <c r="N1258">
        <v>7</v>
      </c>
      <c r="O1258">
        <v>0.54</v>
      </c>
      <c r="P1258" t="s">
        <v>19</v>
      </c>
    </row>
    <row r="1259" spans="1:16" x14ac:dyDescent="0.35">
      <c r="A1259" t="s">
        <v>1285</v>
      </c>
      <c r="B1259">
        <v>1258</v>
      </c>
      <c r="C1259">
        <v>20</v>
      </c>
      <c r="D1259" t="s">
        <v>16</v>
      </c>
      <c r="E1259" t="s">
        <v>46</v>
      </c>
      <c r="F1259">
        <v>2.1</v>
      </c>
      <c r="G1259">
        <v>6</v>
      </c>
      <c r="H1259">
        <v>78.7</v>
      </c>
      <c r="I1259">
        <v>0.91</v>
      </c>
      <c r="J1259" t="s">
        <v>23</v>
      </c>
      <c r="K1259">
        <v>25</v>
      </c>
      <c r="L1259">
        <v>47</v>
      </c>
      <c r="M1259">
        <v>0.56000000000000005</v>
      </c>
      <c r="N1259">
        <v>11</v>
      </c>
      <c r="O1259">
        <v>0.87</v>
      </c>
      <c r="P1259" t="s">
        <v>19</v>
      </c>
    </row>
    <row r="1260" spans="1:16" x14ac:dyDescent="0.35">
      <c r="A1260" t="s">
        <v>1286</v>
      </c>
      <c r="B1260">
        <v>1259</v>
      </c>
      <c r="C1260">
        <v>25</v>
      </c>
      <c r="D1260" t="s">
        <v>21</v>
      </c>
      <c r="E1260" t="s">
        <v>30</v>
      </c>
      <c r="F1260">
        <v>3.11</v>
      </c>
      <c r="G1260">
        <v>3</v>
      </c>
      <c r="H1260">
        <v>74.5</v>
      </c>
      <c r="I1260">
        <v>0.9</v>
      </c>
      <c r="J1260" t="s">
        <v>23</v>
      </c>
      <c r="K1260">
        <v>26</v>
      </c>
      <c r="L1260">
        <v>58</v>
      </c>
      <c r="M1260">
        <v>0.61</v>
      </c>
      <c r="N1260">
        <v>2</v>
      </c>
      <c r="O1260">
        <v>0.77</v>
      </c>
      <c r="P1260" t="s">
        <v>41</v>
      </c>
    </row>
    <row r="1261" spans="1:16" x14ac:dyDescent="0.35">
      <c r="A1261" t="s">
        <v>1287</v>
      </c>
      <c r="B1261">
        <v>1260</v>
      </c>
      <c r="C1261">
        <v>20</v>
      </c>
      <c r="D1261" t="s">
        <v>32</v>
      </c>
      <c r="E1261" t="s">
        <v>17</v>
      </c>
      <c r="F1261">
        <v>2.31</v>
      </c>
      <c r="G1261">
        <v>6</v>
      </c>
      <c r="H1261">
        <v>64.3</v>
      </c>
      <c r="I1261">
        <v>0.72</v>
      </c>
      <c r="J1261" t="s">
        <v>18</v>
      </c>
      <c r="K1261">
        <v>7</v>
      </c>
      <c r="L1261">
        <v>84</v>
      </c>
      <c r="M1261">
        <v>0.66</v>
      </c>
      <c r="N1261">
        <v>17</v>
      </c>
      <c r="O1261">
        <v>0.98</v>
      </c>
      <c r="P1261" t="s">
        <v>19</v>
      </c>
    </row>
    <row r="1262" spans="1:16" x14ac:dyDescent="0.35">
      <c r="A1262" t="s">
        <v>1288</v>
      </c>
      <c r="B1262">
        <v>1261</v>
      </c>
      <c r="C1262">
        <v>24</v>
      </c>
      <c r="D1262" t="s">
        <v>21</v>
      </c>
      <c r="E1262" t="s">
        <v>30</v>
      </c>
      <c r="F1262">
        <v>3.67</v>
      </c>
      <c r="G1262">
        <v>4</v>
      </c>
      <c r="H1262">
        <v>95</v>
      </c>
      <c r="I1262">
        <v>0.72</v>
      </c>
      <c r="J1262" t="s">
        <v>28</v>
      </c>
      <c r="K1262">
        <v>38</v>
      </c>
      <c r="L1262">
        <v>48</v>
      </c>
      <c r="M1262">
        <v>0.61</v>
      </c>
      <c r="N1262">
        <v>7</v>
      </c>
      <c r="O1262">
        <v>0.59</v>
      </c>
      <c r="P1262" t="s">
        <v>19</v>
      </c>
    </row>
    <row r="1263" spans="1:16" x14ac:dyDescent="0.35">
      <c r="A1263" t="s">
        <v>1289</v>
      </c>
      <c r="B1263">
        <v>1262</v>
      </c>
      <c r="C1263">
        <v>20</v>
      </c>
      <c r="D1263" t="s">
        <v>21</v>
      </c>
      <c r="E1263" t="s">
        <v>17</v>
      </c>
      <c r="F1263">
        <v>2.72</v>
      </c>
      <c r="G1263">
        <v>3</v>
      </c>
      <c r="H1263">
        <v>91.3</v>
      </c>
      <c r="I1263">
        <v>0.94</v>
      </c>
      <c r="J1263" t="s">
        <v>28</v>
      </c>
      <c r="K1263">
        <v>7</v>
      </c>
      <c r="L1263">
        <v>80</v>
      </c>
      <c r="M1263">
        <v>0.7</v>
      </c>
      <c r="N1263">
        <v>0</v>
      </c>
      <c r="O1263">
        <v>0.8</v>
      </c>
      <c r="P1263" t="s">
        <v>24</v>
      </c>
    </row>
    <row r="1264" spans="1:16" x14ac:dyDescent="0.35">
      <c r="A1264" t="s">
        <v>1290</v>
      </c>
      <c r="B1264">
        <v>1263</v>
      </c>
      <c r="C1264">
        <v>24</v>
      </c>
      <c r="D1264" t="s">
        <v>16</v>
      </c>
      <c r="E1264" t="s">
        <v>46</v>
      </c>
      <c r="F1264">
        <v>3.83</v>
      </c>
      <c r="G1264">
        <v>5</v>
      </c>
      <c r="H1264">
        <v>66.7</v>
      </c>
      <c r="I1264">
        <v>0.63</v>
      </c>
      <c r="J1264" t="s">
        <v>23</v>
      </c>
      <c r="K1264">
        <v>7</v>
      </c>
      <c r="L1264">
        <v>39</v>
      </c>
      <c r="M1264">
        <v>0.78</v>
      </c>
      <c r="N1264">
        <v>13</v>
      </c>
      <c r="O1264">
        <v>0.61</v>
      </c>
      <c r="P1264" t="s">
        <v>19</v>
      </c>
    </row>
    <row r="1265" spans="1:16" x14ac:dyDescent="0.35">
      <c r="A1265" t="s">
        <v>1291</v>
      </c>
      <c r="B1265">
        <v>1264</v>
      </c>
      <c r="C1265">
        <v>24</v>
      </c>
      <c r="D1265" t="s">
        <v>21</v>
      </c>
      <c r="E1265" t="s">
        <v>46</v>
      </c>
      <c r="F1265">
        <v>3.13</v>
      </c>
      <c r="G1265">
        <v>6</v>
      </c>
      <c r="H1265">
        <v>80.5</v>
      </c>
      <c r="I1265">
        <v>0.95</v>
      </c>
      <c r="J1265" t="s">
        <v>28</v>
      </c>
      <c r="K1265">
        <v>33</v>
      </c>
      <c r="L1265">
        <v>30</v>
      </c>
      <c r="M1265">
        <v>0.84</v>
      </c>
      <c r="N1265">
        <v>12</v>
      </c>
      <c r="O1265">
        <v>0.81</v>
      </c>
      <c r="P1265" t="s">
        <v>41</v>
      </c>
    </row>
    <row r="1266" spans="1:16" x14ac:dyDescent="0.35">
      <c r="A1266" t="s">
        <v>1292</v>
      </c>
      <c r="B1266">
        <v>1265</v>
      </c>
      <c r="C1266">
        <v>23</v>
      </c>
      <c r="D1266" t="s">
        <v>21</v>
      </c>
      <c r="E1266" t="s">
        <v>17</v>
      </c>
      <c r="F1266">
        <v>2.37</v>
      </c>
      <c r="G1266">
        <v>6</v>
      </c>
      <c r="H1266">
        <v>79.5</v>
      </c>
      <c r="I1266">
        <v>0.7</v>
      </c>
      <c r="J1266" t="s">
        <v>28</v>
      </c>
      <c r="K1266">
        <v>15</v>
      </c>
      <c r="L1266">
        <v>10</v>
      </c>
      <c r="M1266">
        <v>0.98</v>
      </c>
      <c r="N1266">
        <v>11</v>
      </c>
      <c r="O1266">
        <v>0.86</v>
      </c>
      <c r="P1266" t="s">
        <v>19</v>
      </c>
    </row>
    <row r="1267" spans="1:16" x14ac:dyDescent="0.35">
      <c r="A1267" t="s">
        <v>1293</v>
      </c>
      <c r="B1267">
        <v>1266</v>
      </c>
      <c r="C1267">
        <v>20</v>
      </c>
      <c r="D1267" t="s">
        <v>16</v>
      </c>
      <c r="E1267" t="s">
        <v>46</v>
      </c>
      <c r="F1267">
        <v>2.2799999999999998</v>
      </c>
      <c r="G1267">
        <v>4</v>
      </c>
      <c r="H1267">
        <v>85</v>
      </c>
      <c r="I1267">
        <v>0.84</v>
      </c>
      <c r="J1267" t="s">
        <v>18</v>
      </c>
      <c r="K1267">
        <v>12</v>
      </c>
      <c r="L1267">
        <v>41</v>
      </c>
      <c r="M1267">
        <v>0.97</v>
      </c>
      <c r="N1267">
        <v>2</v>
      </c>
      <c r="O1267">
        <v>0.86</v>
      </c>
      <c r="P1267" t="s">
        <v>19</v>
      </c>
    </row>
    <row r="1268" spans="1:16" x14ac:dyDescent="0.35">
      <c r="A1268" t="s">
        <v>1294</v>
      </c>
      <c r="B1268">
        <v>1267</v>
      </c>
      <c r="C1268">
        <v>24</v>
      </c>
      <c r="D1268" t="s">
        <v>32</v>
      </c>
      <c r="E1268" t="s">
        <v>17</v>
      </c>
      <c r="F1268">
        <v>3.15</v>
      </c>
      <c r="G1268">
        <v>4</v>
      </c>
      <c r="H1268">
        <v>97.8</v>
      </c>
      <c r="I1268">
        <v>0.97</v>
      </c>
      <c r="J1268" t="s">
        <v>18</v>
      </c>
      <c r="K1268">
        <v>22</v>
      </c>
      <c r="L1268">
        <v>17</v>
      </c>
      <c r="M1268">
        <v>0.79</v>
      </c>
      <c r="N1268">
        <v>17</v>
      </c>
      <c r="O1268">
        <v>0.91</v>
      </c>
      <c r="P1268" t="s">
        <v>41</v>
      </c>
    </row>
    <row r="1269" spans="1:16" x14ac:dyDescent="0.35">
      <c r="A1269" t="s">
        <v>1295</v>
      </c>
      <c r="B1269">
        <v>1268</v>
      </c>
      <c r="C1269">
        <v>21</v>
      </c>
      <c r="D1269" t="s">
        <v>21</v>
      </c>
      <c r="E1269" t="s">
        <v>17</v>
      </c>
      <c r="F1269">
        <v>3.52</v>
      </c>
      <c r="G1269">
        <v>6</v>
      </c>
      <c r="H1269">
        <v>83.2</v>
      </c>
      <c r="I1269">
        <v>0.87</v>
      </c>
      <c r="J1269" t="s">
        <v>23</v>
      </c>
      <c r="K1269">
        <v>11</v>
      </c>
      <c r="L1269">
        <v>78</v>
      </c>
      <c r="M1269">
        <v>0.87</v>
      </c>
      <c r="N1269">
        <v>12</v>
      </c>
      <c r="O1269">
        <v>0.93</v>
      </c>
      <c r="P1269" t="s">
        <v>41</v>
      </c>
    </row>
    <row r="1270" spans="1:16" x14ac:dyDescent="0.35">
      <c r="A1270" t="s">
        <v>1296</v>
      </c>
      <c r="B1270">
        <v>1269</v>
      </c>
      <c r="C1270">
        <v>22</v>
      </c>
      <c r="D1270" t="s">
        <v>16</v>
      </c>
      <c r="E1270" t="s">
        <v>46</v>
      </c>
      <c r="F1270">
        <v>3.56</v>
      </c>
      <c r="G1270">
        <v>4</v>
      </c>
      <c r="H1270">
        <v>81.599999999999994</v>
      </c>
      <c r="I1270">
        <v>0.77</v>
      </c>
      <c r="J1270" t="s">
        <v>23</v>
      </c>
      <c r="K1270">
        <v>26</v>
      </c>
      <c r="L1270">
        <v>39</v>
      </c>
      <c r="M1270">
        <v>0.98</v>
      </c>
      <c r="N1270">
        <v>14</v>
      </c>
      <c r="O1270">
        <v>0.54</v>
      </c>
      <c r="P1270" t="s">
        <v>24</v>
      </c>
    </row>
    <row r="1271" spans="1:16" x14ac:dyDescent="0.35">
      <c r="A1271" t="s">
        <v>1297</v>
      </c>
      <c r="B1271">
        <v>1270</v>
      </c>
      <c r="C1271">
        <v>19</v>
      </c>
      <c r="D1271" t="s">
        <v>21</v>
      </c>
      <c r="E1271" t="s">
        <v>22</v>
      </c>
      <c r="F1271">
        <v>2.5499999999999998</v>
      </c>
      <c r="G1271">
        <v>5</v>
      </c>
      <c r="H1271">
        <v>62</v>
      </c>
      <c r="I1271">
        <v>0.88</v>
      </c>
      <c r="J1271" t="s">
        <v>23</v>
      </c>
      <c r="K1271">
        <v>21</v>
      </c>
      <c r="L1271">
        <v>17</v>
      </c>
      <c r="M1271">
        <v>0.54</v>
      </c>
      <c r="N1271">
        <v>9</v>
      </c>
      <c r="O1271">
        <v>0.67</v>
      </c>
      <c r="P1271" t="s">
        <v>24</v>
      </c>
    </row>
    <row r="1272" spans="1:16" x14ac:dyDescent="0.35">
      <c r="A1272" t="s">
        <v>1298</v>
      </c>
      <c r="B1272">
        <v>1271</v>
      </c>
      <c r="C1272">
        <v>19</v>
      </c>
      <c r="D1272" t="s">
        <v>21</v>
      </c>
      <c r="E1272" t="s">
        <v>17</v>
      </c>
      <c r="F1272">
        <v>2.41</v>
      </c>
      <c r="G1272">
        <v>4</v>
      </c>
      <c r="H1272">
        <v>62.5</v>
      </c>
      <c r="I1272">
        <v>0.74</v>
      </c>
      <c r="J1272" t="s">
        <v>18</v>
      </c>
      <c r="K1272">
        <v>31</v>
      </c>
      <c r="L1272">
        <v>28</v>
      </c>
      <c r="M1272">
        <v>0.5</v>
      </c>
      <c r="N1272">
        <v>0</v>
      </c>
      <c r="O1272">
        <v>0.84</v>
      </c>
      <c r="P1272" t="s">
        <v>19</v>
      </c>
    </row>
    <row r="1273" spans="1:16" x14ac:dyDescent="0.35">
      <c r="A1273" t="s">
        <v>1299</v>
      </c>
      <c r="B1273">
        <v>1272</v>
      </c>
      <c r="C1273">
        <v>23</v>
      </c>
      <c r="D1273" t="s">
        <v>32</v>
      </c>
      <c r="E1273" t="s">
        <v>30</v>
      </c>
      <c r="F1273">
        <v>2.0299999999999998</v>
      </c>
      <c r="G1273">
        <v>4</v>
      </c>
      <c r="H1273">
        <v>67.5</v>
      </c>
      <c r="I1273">
        <v>0.71</v>
      </c>
      <c r="J1273" t="s">
        <v>28</v>
      </c>
      <c r="K1273">
        <v>26</v>
      </c>
      <c r="L1273">
        <v>68</v>
      </c>
      <c r="M1273">
        <v>0.51</v>
      </c>
      <c r="N1273">
        <v>5</v>
      </c>
      <c r="O1273">
        <v>0.75</v>
      </c>
      <c r="P1273" t="s">
        <v>19</v>
      </c>
    </row>
    <row r="1274" spans="1:16" x14ac:dyDescent="0.35">
      <c r="A1274" t="s">
        <v>1300</v>
      </c>
      <c r="B1274">
        <v>1273</v>
      </c>
      <c r="C1274">
        <v>20</v>
      </c>
      <c r="D1274" t="s">
        <v>21</v>
      </c>
      <c r="E1274" t="s">
        <v>30</v>
      </c>
      <c r="F1274">
        <v>3.36</v>
      </c>
      <c r="G1274">
        <v>6</v>
      </c>
      <c r="H1274">
        <v>61.3</v>
      </c>
      <c r="I1274">
        <v>1</v>
      </c>
      <c r="J1274" t="s">
        <v>18</v>
      </c>
      <c r="K1274">
        <v>1</v>
      </c>
      <c r="L1274">
        <v>64</v>
      </c>
      <c r="M1274">
        <v>0.78</v>
      </c>
      <c r="N1274">
        <v>8</v>
      </c>
      <c r="O1274">
        <v>0.6</v>
      </c>
      <c r="P1274" t="s">
        <v>41</v>
      </c>
    </row>
    <row r="1275" spans="1:16" x14ac:dyDescent="0.35">
      <c r="A1275" t="s">
        <v>1301</v>
      </c>
      <c r="B1275">
        <v>1274</v>
      </c>
      <c r="C1275">
        <v>20</v>
      </c>
      <c r="D1275" t="s">
        <v>16</v>
      </c>
      <c r="E1275" t="s">
        <v>46</v>
      </c>
      <c r="F1275">
        <v>2.15</v>
      </c>
      <c r="G1275">
        <v>6</v>
      </c>
      <c r="H1275">
        <v>89.7</v>
      </c>
      <c r="I1275">
        <v>0.9</v>
      </c>
      <c r="J1275" t="s">
        <v>18</v>
      </c>
      <c r="K1275">
        <v>32</v>
      </c>
      <c r="L1275">
        <v>39</v>
      </c>
      <c r="M1275">
        <v>0.88</v>
      </c>
      <c r="N1275">
        <v>9</v>
      </c>
      <c r="O1275">
        <v>0.78</v>
      </c>
      <c r="P1275" t="s">
        <v>19</v>
      </c>
    </row>
    <row r="1276" spans="1:16" x14ac:dyDescent="0.35">
      <c r="A1276" t="s">
        <v>1302</v>
      </c>
      <c r="B1276">
        <v>1275</v>
      </c>
      <c r="C1276">
        <v>24</v>
      </c>
      <c r="D1276" t="s">
        <v>21</v>
      </c>
      <c r="E1276" t="s">
        <v>22</v>
      </c>
      <c r="F1276">
        <v>2.84</v>
      </c>
      <c r="G1276">
        <v>3</v>
      </c>
      <c r="H1276">
        <v>88.9</v>
      </c>
      <c r="I1276">
        <v>0.86</v>
      </c>
      <c r="J1276" t="s">
        <v>28</v>
      </c>
      <c r="K1276">
        <v>25</v>
      </c>
      <c r="L1276">
        <v>88</v>
      </c>
      <c r="M1276">
        <v>0.68</v>
      </c>
      <c r="N1276">
        <v>14</v>
      </c>
      <c r="O1276">
        <v>0.7</v>
      </c>
      <c r="P1276" t="s">
        <v>24</v>
      </c>
    </row>
    <row r="1277" spans="1:16" x14ac:dyDescent="0.35">
      <c r="A1277" t="s">
        <v>1303</v>
      </c>
      <c r="B1277">
        <v>1276</v>
      </c>
      <c r="C1277">
        <v>25</v>
      </c>
      <c r="D1277" t="s">
        <v>32</v>
      </c>
      <c r="E1277" t="s">
        <v>46</v>
      </c>
      <c r="F1277">
        <v>3.2</v>
      </c>
      <c r="G1277">
        <v>3</v>
      </c>
      <c r="H1277">
        <v>65.400000000000006</v>
      </c>
      <c r="I1277">
        <v>0.74</v>
      </c>
      <c r="J1277" t="s">
        <v>28</v>
      </c>
      <c r="K1277">
        <v>27</v>
      </c>
      <c r="L1277">
        <v>45</v>
      </c>
      <c r="M1277">
        <v>0.77</v>
      </c>
      <c r="N1277">
        <v>8</v>
      </c>
      <c r="O1277">
        <v>0.7</v>
      </c>
      <c r="P1277" t="s">
        <v>19</v>
      </c>
    </row>
    <row r="1278" spans="1:16" x14ac:dyDescent="0.35">
      <c r="A1278" t="s">
        <v>1304</v>
      </c>
      <c r="B1278">
        <v>1277</v>
      </c>
      <c r="C1278">
        <v>18</v>
      </c>
      <c r="D1278" t="s">
        <v>32</v>
      </c>
      <c r="E1278" t="s">
        <v>22</v>
      </c>
      <c r="F1278">
        <v>3.87</v>
      </c>
      <c r="G1278">
        <v>6</v>
      </c>
      <c r="H1278">
        <v>93.4</v>
      </c>
      <c r="I1278">
        <v>0.62</v>
      </c>
      <c r="J1278" t="s">
        <v>23</v>
      </c>
      <c r="K1278">
        <v>18</v>
      </c>
      <c r="L1278">
        <v>64</v>
      </c>
      <c r="M1278">
        <v>0.76</v>
      </c>
      <c r="N1278">
        <v>13</v>
      </c>
      <c r="O1278">
        <v>0.9</v>
      </c>
      <c r="P1278" t="s">
        <v>19</v>
      </c>
    </row>
    <row r="1279" spans="1:16" x14ac:dyDescent="0.35">
      <c r="A1279" t="s">
        <v>1305</v>
      </c>
      <c r="B1279">
        <v>1278</v>
      </c>
      <c r="C1279">
        <v>24</v>
      </c>
      <c r="D1279" t="s">
        <v>16</v>
      </c>
      <c r="E1279" t="s">
        <v>17</v>
      </c>
      <c r="F1279">
        <v>2.62</v>
      </c>
      <c r="G1279">
        <v>4</v>
      </c>
      <c r="H1279">
        <v>66.2</v>
      </c>
      <c r="I1279">
        <v>0.61</v>
      </c>
      <c r="J1279" t="s">
        <v>28</v>
      </c>
      <c r="K1279">
        <v>4</v>
      </c>
      <c r="L1279">
        <v>53</v>
      </c>
      <c r="M1279">
        <v>0.55000000000000004</v>
      </c>
      <c r="N1279">
        <v>10</v>
      </c>
      <c r="O1279">
        <v>0.7</v>
      </c>
      <c r="P1279" t="s">
        <v>19</v>
      </c>
    </row>
    <row r="1280" spans="1:16" x14ac:dyDescent="0.35">
      <c r="A1280" t="s">
        <v>1306</v>
      </c>
      <c r="B1280">
        <v>1279</v>
      </c>
      <c r="C1280">
        <v>22</v>
      </c>
      <c r="D1280" t="s">
        <v>32</v>
      </c>
      <c r="E1280" t="s">
        <v>17</v>
      </c>
      <c r="F1280">
        <v>2.5</v>
      </c>
      <c r="G1280">
        <v>4</v>
      </c>
      <c r="H1280">
        <v>72</v>
      </c>
      <c r="I1280">
        <v>0.82</v>
      </c>
      <c r="J1280" t="s">
        <v>28</v>
      </c>
      <c r="K1280">
        <v>32</v>
      </c>
      <c r="L1280">
        <v>36</v>
      </c>
      <c r="M1280">
        <v>0.66</v>
      </c>
      <c r="N1280">
        <v>6</v>
      </c>
      <c r="O1280">
        <v>0.51</v>
      </c>
      <c r="P1280" t="s">
        <v>24</v>
      </c>
    </row>
    <row r="1281" spans="1:16" x14ac:dyDescent="0.35">
      <c r="A1281" t="s">
        <v>1307</v>
      </c>
      <c r="B1281">
        <v>1280</v>
      </c>
      <c r="C1281">
        <v>21</v>
      </c>
      <c r="D1281" t="s">
        <v>21</v>
      </c>
      <c r="E1281" t="s">
        <v>17</v>
      </c>
      <c r="F1281">
        <v>3.31</v>
      </c>
      <c r="G1281">
        <v>3</v>
      </c>
      <c r="H1281">
        <v>70</v>
      </c>
      <c r="I1281">
        <v>0.9</v>
      </c>
      <c r="J1281" t="s">
        <v>28</v>
      </c>
      <c r="K1281">
        <v>19</v>
      </c>
      <c r="L1281">
        <v>86</v>
      </c>
      <c r="M1281">
        <v>0.51</v>
      </c>
      <c r="N1281">
        <v>1</v>
      </c>
      <c r="O1281">
        <v>0.53</v>
      </c>
      <c r="P1281" t="s">
        <v>41</v>
      </c>
    </row>
    <row r="1282" spans="1:16" x14ac:dyDescent="0.35">
      <c r="A1282" t="s">
        <v>1308</v>
      </c>
      <c r="B1282">
        <v>1281</v>
      </c>
      <c r="C1282">
        <v>19</v>
      </c>
      <c r="D1282" t="s">
        <v>32</v>
      </c>
      <c r="E1282" t="s">
        <v>17</v>
      </c>
      <c r="F1282">
        <v>3.24</v>
      </c>
      <c r="G1282">
        <v>3</v>
      </c>
      <c r="H1282">
        <v>74.900000000000006</v>
      </c>
      <c r="I1282">
        <v>0.81</v>
      </c>
      <c r="J1282" t="s">
        <v>28</v>
      </c>
      <c r="K1282">
        <v>29</v>
      </c>
      <c r="L1282">
        <v>87</v>
      </c>
      <c r="M1282">
        <v>0.56000000000000005</v>
      </c>
      <c r="N1282">
        <v>13</v>
      </c>
      <c r="O1282">
        <v>0.93</v>
      </c>
      <c r="P1282" t="s">
        <v>24</v>
      </c>
    </row>
    <row r="1283" spans="1:16" x14ac:dyDescent="0.35">
      <c r="A1283" t="s">
        <v>1309</v>
      </c>
      <c r="B1283">
        <v>1282</v>
      </c>
      <c r="C1283">
        <v>24</v>
      </c>
      <c r="D1283" t="s">
        <v>16</v>
      </c>
      <c r="E1283" t="s">
        <v>30</v>
      </c>
      <c r="F1283">
        <v>2.66</v>
      </c>
      <c r="G1283">
        <v>3</v>
      </c>
      <c r="H1283">
        <v>70.2</v>
      </c>
      <c r="I1283">
        <v>0.94</v>
      </c>
      <c r="J1283" t="s">
        <v>23</v>
      </c>
      <c r="K1283">
        <v>7</v>
      </c>
      <c r="L1283">
        <v>63</v>
      </c>
      <c r="M1283">
        <v>0.91</v>
      </c>
      <c r="N1283">
        <v>5</v>
      </c>
      <c r="O1283">
        <v>0.98</v>
      </c>
      <c r="P1283" t="s">
        <v>24</v>
      </c>
    </row>
    <row r="1284" spans="1:16" x14ac:dyDescent="0.35">
      <c r="A1284" t="s">
        <v>1310</v>
      </c>
      <c r="B1284">
        <v>1283</v>
      </c>
      <c r="C1284">
        <v>18</v>
      </c>
      <c r="D1284" t="s">
        <v>32</v>
      </c>
      <c r="E1284" t="s">
        <v>30</v>
      </c>
      <c r="F1284">
        <v>3.86</v>
      </c>
      <c r="G1284">
        <v>5</v>
      </c>
      <c r="H1284">
        <v>79.599999999999994</v>
      </c>
      <c r="I1284">
        <v>0.61</v>
      </c>
      <c r="J1284" t="s">
        <v>23</v>
      </c>
      <c r="K1284">
        <v>37</v>
      </c>
      <c r="L1284">
        <v>57</v>
      </c>
      <c r="M1284">
        <v>0.91</v>
      </c>
      <c r="N1284">
        <v>4</v>
      </c>
      <c r="O1284">
        <v>0.84</v>
      </c>
      <c r="P1284" t="s">
        <v>19</v>
      </c>
    </row>
    <row r="1285" spans="1:16" x14ac:dyDescent="0.35">
      <c r="A1285" t="s">
        <v>1311</v>
      </c>
      <c r="B1285">
        <v>1284</v>
      </c>
      <c r="C1285">
        <v>18</v>
      </c>
      <c r="D1285" t="s">
        <v>32</v>
      </c>
      <c r="E1285" t="s">
        <v>46</v>
      </c>
      <c r="F1285">
        <v>3.69</v>
      </c>
      <c r="G1285">
        <v>5</v>
      </c>
      <c r="H1285">
        <v>76.3</v>
      </c>
      <c r="I1285">
        <v>0.75</v>
      </c>
      <c r="J1285" t="s">
        <v>28</v>
      </c>
      <c r="K1285">
        <v>16</v>
      </c>
      <c r="L1285">
        <v>39</v>
      </c>
      <c r="M1285">
        <v>0.9</v>
      </c>
      <c r="N1285">
        <v>4</v>
      </c>
      <c r="O1285">
        <v>0.68</v>
      </c>
      <c r="P1285" t="s">
        <v>24</v>
      </c>
    </row>
    <row r="1286" spans="1:16" x14ac:dyDescent="0.35">
      <c r="A1286" t="s">
        <v>1312</v>
      </c>
      <c r="B1286">
        <v>1285</v>
      </c>
      <c r="C1286">
        <v>24</v>
      </c>
      <c r="D1286" t="s">
        <v>32</v>
      </c>
      <c r="E1286" t="s">
        <v>22</v>
      </c>
      <c r="F1286">
        <v>2.4500000000000002</v>
      </c>
      <c r="G1286">
        <v>3</v>
      </c>
      <c r="H1286">
        <v>99.5</v>
      </c>
      <c r="I1286">
        <v>0.69</v>
      </c>
      <c r="J1286" t="s">
        <v>28</v>
      </c>
      <c r="K1286">
        <v>0</v>
      </c>
      <c r="L1286">
        <v>48</v>
      </c>
      <c r="M1286">
        <v>0.86</v>
      </c>
      <c r="N1286">
        <v>18</v>
      </c>
      <c r="O1286">
        <v>0.97</v>
      </c>
      <c r="P1286" t="s">
        <v>19</v>
      </c>
    </row>
    <row r="1287" spans="1:16" x14ac:dyDescent="0.35">
      <c r="A1287" t="s">
        <v>1313</v>
      </c>
      <c r="B1287">
        <v>1286</v>
      </c>
      <c r="C1287">
        <v>23</v>
      </c>
      <c r="D1287" t="s">
        <v>16</v>
      </c>
      <c r="E1287" t="s">
        <v>17</v>
      </c>
      <c r="F1287">
        <v>2.48</v>
      </c>
      <c r="G1287">
        <v>4</v>
      </c>
      <c r="H1287">
        <v>62.2</v>
      </c>
      <c r="I1287">
        <v>0.78</v>
      </c>
      <c r="J1287" t="s">
        <v>23</v>
      </c>
      <c r="K1287">
        <v>2</v>
      </c>
      <c r="L1287">
        <v>22</v>
      </c>
      <c r="M1287">
        <v>0.9</v>
      </c>
      <c r="N1287">
        <v>18</v>
      </c>
      <c r="O1287">
        <v>0.83</v>
      </c>
      <c r="P1287" t="s">
        <v>19</v>
      </c>
    </row>
    <row r="1288" spans="1:16" x14ac:dyDescent="0.35">
      <c r="A1288" t="s">
        <v>1314</v>
      </c>
      <c r="B1288">
        <v>1287</v>
      </c>
      <c r="C1288">
        <v>19</v>
      </c>
      <c r="D1288" t="s">
        <v>32</v>
      </c>
      <c r="E1288" t="s">
        <v>17</v>
      </c>
      <c r="F1288">
        <v>3.02</v>
      </c>
      <c r="G1288">
        <v>3</v>
      </c>
      <c r="H1288">
        <v>65.7</v>
      </c>
      <c r="I1288">
        <v>0.63</v>
      </c>
      <c r="J1288" t="s">
        <v>23</v>
      </c>
      <c r="K1288">
        <v>25</v>
      </c>
      <c r="L1288">
        <v>25</v>
      </c>
      <c r="M1288">
        <v>0.84</v>
      </c>
      <c r="N1288">
        <v>5</v>
      </c>
      <c r="O1288">
        <v>0.92</v>
      </c>
      <c r="P1288" t="s">
        <v>19</v>
      </c>
    </row>
    <row r="1289" spans="1:16" x14ac:dyDescent="0.35">
      <c r="A1289" t="s">
        <v>1315</v>
      </c>
      <c r="B1289">
        <v>1288</v>
      </c>
      <c r="C1289">
        <v>23</v>
      </c>
      <c r="D1289" t="s">
        <v>32</v>
      </c>
      <c r="E1289" t="s">
        <v>22</v>
      </c>
      <c r="F1289">
        <v>3.55</v>
      </c>
      <c r="G1289">
        <v>5</v>
      </c>
      <c r="H1289">
        <v>62.1</v>
      </c>
      <c r="I1289">
        <v>0.98</v>
      </c>
      <c r="J1289" t="s">
        <v>28</v>
      </c>
      <c r="K1289">
        <v>30</v>
      </c>
      <c r="L1289">
        <v>53</v>
      </c>
      <c r="M1289">
        <v>0.83</v>
      </c>
      <c r="N1289">
        <v>9</v>
      </c>
      <c r="O1289">
        <v>0.88</v>
      </c>
      <c r="P1289" t="s">
        <v>41</v>
      </c>
    </row>
    <row r="1290" spans="1:16" x14ac:dyDescent="0.35">
      <c r="A1290" t="s">
        <v>1316</v>
      </c>
      <c r="B1290">
        <v>1289</v>
      </c>
      <c r="C1290">
        <v>21</v>
      </c>
      <c r="D1290" t="s">
        <v>21</v>
      </c>
      <c r="E1290" t="s">
        <v>22</v>
      </c>
      <c r="F1290">
        <v>2.09</v>
      </c>
      <c r="G1290">
        <v>4</v>
      </c>
      <c r="H1290">
        <v>85</v>
      </c>
      <c r="I1290">
        <v>0.69</v>
      </c>
      <c r="J1290" t="s">
        <v>18</v>
      </c>
      <c r="K1290">
        <v>7</v>
      </c>
      <c r="L1290">
        <v>80</v>
      </c>
      <c r="M1290">
        <v>0.83</v>
      </c>
      <c r="N1290">
        <v>13</v>
      </c>
      <c r="O1290">
        <v>0.69</v>
      </c>
      <c r="P1290" t="s">
        <v>19</v>
      </c>
    </row>
    <row r="1291" spans="1:16" x14ac:dyDescent="0.35">
      <c r="A1291" t="s">
        <v>1317</v>
      </c>
      <c r="B1291">
        <v>1290</v>
      </c>
      <c r="C1291">
        <v>18</v>
      </c>
      <c r="D1291" t="s">
        <v>16</v>
      </c>
      <c r="E1291" t="s">
        <v>46</v>
      </c>
      <c r="F1291">
        <v>3.39</v>
      </c>
      <c r="G1291">
        <v>5</v>
      </c>
      <c r="H1291">
        <v>62.2</v>
      </c>
      <c r="I1291">
        <v>0.97</v>
      </c>
      <c r="J1291" t="s">
        <v>23</v>
      </c>
      <c r="K1291">
        <v>7</v>
      </c>
      <c r="L1291">
        <v>36</v>
      </c>
      <c r="M1291">
        <v>0.76</v>
      </c>
      <c r="N1291">
        <v>16</v>
      </c>
      <c r="O1291">
        <v>0.74</v>
      </c>
      <c r="P1291" t="s">
        <v>41</v>
      </c>
    </row>
    <row r="1292" spans="1:16" x14ac:dyDescent="0.35">
      <c r="A1292" t="s">
        <v>1318</v>
      </c>
      <c r="B1292">
        <v>1291</v>
      </c>
      <c r="C1292">
        <v>18</v>
      </c>
      <c r="D1292" t="s">
        <v>32</v>
      </c>
      <c r="E1292" t="s">
        <v>22</v>
      </c>
      <c r="F1292">
        <v>3.3</v>
      </c>
      <c r="G1292">
        <v>4</v>
      </c>
      <c r="H1292">
        <v>93.5</v>
      </c>
      <c r="I1292">
        <v>0.77</v>
      </c>
      <c r="J1292" t="s">
        <v>23</v>
      </c>
      <c r="K1292">
        <v>34</v>
      </c>
      <c r="L1292">
        <v>54</v>
      </c>
      <c r="M1292">
        <v>0.68</v>
      </c>
      <c r="N1292">
        <v>2</v>
      </c>
      <c r="O1292">
        <v>0.59</v>
      </c>
      <c r="P1292" t="s">
        <v>24</v>
      </c>
    </row>
    <row r="1293" spans="1:16" x14ac:dyDescent="0.35">
      <c r="A1293" t="s">
        <v>1319</v>
      </c>
      <c r="B1293">
        <v>1292</v>
      </c>
      <c r="C1293">
        <v>22</v>
      </c>
      <c r="D1293" t="s">
        <v>16</v>
      </c>
      <c r="E1293" t="s">
        <v>17</v>
      </c>
      <c r="F1293">
        <v>2.46</v>
      </c>
      <c r="G1293">
        <v>5</v>
      </c>
      <c r="H1293">
        <v>80.5</v>
      </c>
      <c r="I1293">
        <v>0.99</v>
      </c>
      <c r="J1293" t="s">
        <v>23</v>
      </c>
      <c r="K1293">
        <v>38</v>
      </c>
      <c r="L1293">
        <v>44</v>
      </c>
      <c r="M1293">
        <v>0.87</v>
      </c>
      <c r="N1293">
        <v>0</v>
      </c>
      <c r="O1293">
        <v>0.65</v>
      </c>
      <c r="P1293" t="s">
        <v>19</v>
      </c>
    </row>
    <row r="1294" spans="1:16" x14ac:dyDescent="0.35">
      <c r="A1294" t="s">
        <v>1320</v>
      </c>
      <c r="B1294">
        <v>1293</v>
      </c>
      <c r="C1294">
        <v>21</v>
      </c>
      <c r="D1294" t="s">
        <v>32</v>
      </c>
      <c r="E1294" t="s">
        <v>17</v>
      </c>
      <c r="F1294">
        <v>3.36</v>
      </c>
      <c r="G1294">
        <v>4</v>
      </c>
      <c r="H1294">
        <v>81.099999999999994</v>
      </c>
      <c r="I1294">
        <v>0.82</v>
      </c>
      <c r="J1294" t="s">
        <v>28</v>
      </c>
      <c r="K1294">
        <v>27</v>
      </c>
      <c r="L1294">
        <v>88</v>
      </c>
      <c r="M1294">
        <v>0.65</v>
      </c>
      <c r="N1294">
        <v>9</v>
      </c>
      <c r="O1294">
        <v>0.89</v>
      </c>
      <c r="P1294" t="s">
        <v>24</v>
      </c>
    </row>
    <row r="1295" spans="1:16" x14ac:dyDescent="0.35">
      <c r="A1295" t="s">
        <v>1321</v>
      </c>
      <c r="B1295">
        <v>1294</v>
      </c>
      <c r="C1295">
        <v>18</v>
      </c>
      <c r="D1295" t="s">
        <v>32</v>
      </c>
      <c r="E1295" t="s">
        <v>17</v>
      </c>
      <c r="F1295">
        <v>3.88</v>
      </c>
      <c r="G1295">
        <v>4</v>
      </c>
      <c r="H1295">
        <v>82.5</v>
      </c>
      <c r="I1295">
        <v>0.97</v>
      </c>
      <c r="J1295" t="s">
        <v>28</v>
      </c>
      <c r="K1295">
        <v>3</v>
      </c>
      <c r="L1295">
        <v>37</v>
      </c>
      <c r="M1295">
        <v>0.77</v>
      </c>
      <c r="N1295">
        <v>2</v>
      </c>
      <c r="O1295">
        <v>0.95</v>
      </c>
      <c r="P1295" t="s">
        <v>41</v>
      </c>
    </row>
    <row r="1296" spans="1:16" x14ac:dyDescent="0.35">
      <c r="A1296" t="s">
        <v>1322</v>
      </c>
      <c r="B1296">
        <v>1295</v>
      </c>
      <c r="C1296">
        <v>21</v>
      </c>
      <c r="D1296" t="s">
        <v>32</v>
      </c>
      <c r="E1296" t="s">
        <v>17</v>
      </c>
      <c r="F1296">
        <v>2.09</v>
      </c>
      <c r="G1296">
        <v>4</v>
      </c>
      <c r="H1296">
        <v>66.8</v>
      </c>
      <c r="I1296">
        <v>0.6</v>
      </c>
      <c r="J1296" t="s">
        <v>23</v>
      </c>
      <c r="K1296">
        <v>15</v>
      </c>
      <c r="L1296">
        <v>16</v>
      </c>
      <c r="M1296">
        <v>0.72</v>
      </c>
      <c r="N1296">
        <v>4</v>
      </c>
      <c r="O1296">
        <v>0.86</v>
      </c>
      <c r="P1296" t="s">
        <v>19</v>
      </c>
    </row>
    <row r="1297" spans="1:16" x14ac:dyDescent="0.35">
      <c r="A1297" t="s">
        <v>1323</v>
      </c>
      <c r="B1297">
        <v>1296</v>
      </c>
      <c r="C1297">
        <v>19</v>
      </c>
      <c r="D1297" t="s">
        <v>21</v>
      </c>
      <c r="E1297" t="s">
        <v>17</v>
      </c>
      <c r="F1297">
        <v>2.64</v>
      </c>
      <c r="G1297">
        <v>4</v>
      </c>
      <c r="H1297">
        <v>67.900000000000006</v>
      </c>
      <c r="I1297">
        <v>0.9</v>
      </c>
      <c r="J1297" t="s">
        <v>28</v>
      </c>
      <c r="K1297">
        <v>12</v>
      </c>
      <c r="L1297">
        <v>71</v>
      </c>
      <c r="M1297">
        <v>0.64</v>
      </c>
      <c r="N1297">
        <v>18</v>
      </c>
      <c r="O1297">
        <v>0.73</v>
      </c>
      <c r="P1297" t="s">
        <v>24</v>
      </c>
    </row>
    <row r="1298" spans="1:16" x14ac:dyDescent="0.35">
      <c r="A1298" t="s">
        <v>1324</v>
      </c>
      <c r="B1298">
        <v>1297</v>
      </c>
      <c r="C1298">
        <v>20</v>
      </c>
      <c r="D1298" t="s">
        <v>21</v>
      </c>
      <c r="E1298" t="s">
        <v>46</v>
      </c>
      <c r="F1298">
        <v>2.88</v>
      </c>
      <c r="G1298">
        <v>6</v>
      </c>
      <c r="H1298">
        <v>72.8</v>
      </c>
      <c r="I1298">
        <v>0.96</v>
      </c>
      <c r="J1298" t="s">
        <v>28</v>
      </c>
      <c r="K1298">
        <v>19</v>
      </c>
      <c r="L1298">
        <v>60</v>
      </c>
      <c r="M1298">
        <v>0.99</v>
      </c>
      <c r="N1298">
        <v>9</v>
      </c>
      <c r="O1298">
        <v>0.54</v>
      </c>
      <c r="P1298" t="s">
        <v>24</v>
      </c>
    </row>
    <row r="1299" spans="1:16" x14ac:dyDescent="0.35">
      <c r="A1299" t="s">
        <v>1325</v>
      </c>
      <c r="B1299">
        <v>1298</v>
      </c>
      <c r="C1299">
        <v>18</v>
      </c>
      <c r="D1299" t="s">
        <v>21</v>
      </c>
      <c r="E1299" t="s">
        <v>17</v>
      </c>
      <c r="F1299">
        <v>3.8</v>
      </c>
      <c r="G1299">
        <v>5</v>
      </c>
      <c r="H1299">
        <v>83.7</v>
      </c>
      <c r="I1299">
        <v>0.66</v>
      </c>
      <c r="J1299" t="s">
        <v>23</v>
      </c>
      <c r="K1299">
        <v>4</v>
      </c>
      <c r="L1299">
        <v>55</v>
      </c>
      <c r="M1299">
        <v>0.63</v>
      </c>
      <c r="N1299">
        <v>15</v>
      </c>
      <c r="O1299">
        <v>0.53</v>
      </c>
      <c r="P1299" t="s">
        <v>19</v>
      </c>
    </row>
    <row r="1300" spans="1:16" x14ac:dyDescent="0.35">
      <c r="A1300" t="s">
        <v>1326</v>
      </c>
      <c r="B1300">
        <v>1299</v>
      </c>
      <c r="C1300">
        <v>22</v>
      </c>
      <c r="D1300" t="s">
        <v>16</v>
      </c>
      <c r="E1300" t="s">
        <v>46</v>
      </c>
      <c r="F1300">
        <v>3.92</v>
      </c>
      <c r="G1300">
        <v>5</v>
      </c>
      <c r="H1300">
        <v>68.400000000000006</v>
      </c>
      <c r="I1300">
        <v>0.64</v>
      </c>
      <c r="J1300" t="s">
        <v>28</v>
      </c>
      <c r="K1300">
        <v>36</v>
      </c>
      <c r="L1300">
        <v>29</v>
      </c>
      <c r="M1300">
        <v>0.65</v>
      </c>
      <c r="N1300">
        <v>0</v>
      </c>
      <c r="O1300">
        <v>0.69</v>
      </c>
      <c r="P1300" t="s">
        <v>19</v>
      </c>
    </row>
    <row r="1301" spans="1:16" x14ac:dyDescent="0.35">
      <c r="A1301" t="s">
        <v>1327</v>
      </c>
      <c r="B1301">
        <v>1300</v>
      </c>
      <c r="C1301">
        <v>19</v>
      </c>
      <c r="D1301" t="s">
        <v>16</v>
      </c>
      <c r="E1301" t="s">
        <v>17</v>
      </c>
      <c r="F1301">
        <v>2.89</v>
      </c>
      <c r="G1301">
        <v>6</v>
      </c>
      <c r="H1301">
        <v>64.7</v>
      </c>
      <c r="I1301">
        <v>0.77</v>
      </c>
      <c r="J1301" t="s">
        <v>18</v>
      </c>
      <c r="K1301">
        <v>19</v>
      </c>
      <c r="L1301">
        <v>47</v>
      </c>
      <c r="M1301">
        <v>0.57999999999999996</v>
      </c>
      <c r="N1301">
        <v>5</v>
      </c>
      <c r="O1301">
        <v>0.73</v>
      </c>
      <c r="P1301" t="s">
        <v>24</v>
      </c>
    </row>
    <row r="1302" spans="1:16" x14ac:dyDescent="0.35">
      <c r="A1302" t="s">
        <v>1328</v>
      </c>
      <c r="B1302">
        <v>1301</v>
      </c>
      <c r="C1302">
        <v>24</v>
      </c>
      <c r="D1302" t="s">
        <v>21</v>
      </c>
      <c r="E1302" t="s">
        <v>30</v>
      </c>
      <c r="F1302">
        <v>3.5</v>
      </c>
      <c r="G1302">
        <v>4</v>
      </c>
      <c r="H1302">
        <v>98.8</v>
      </c>
      <c r="I1302">
        <v>0.97</v>
      </c>
      <c r="J1302" t="s">
        <v>28</v>
      </c>
      <c r="K1302">
        <v>23</v>
      </c>
      <c r="L1302">
        <v>70</v>
      </c>
      <c r="M1302">
        <v>0.91</v>
      </c>
      <c r="N1302">
        <v>8</v>
      </c>
      <c r="O1302">
        <v>0.8</v>
      </c>
      <c r="P1302" t="s">
        <v>41</v>
      </c>
    </row>
    <row r="1303" spans="1:16" x14ac:dyDescent="0.35">
      <c r="A1303" t="s">
        <v>1329</v>
      </c>
      <c r="B1303">
        <v>1302</v>
      </c>
      <c r="C1303">
        <v>21</v>
      </c>
      <c r="D1303" t="s">
        <v>16</v>
      </c>
      <c r="E1303" t="s">
        <v>30</v>
      </c>
      <c r="F1303">
        <v>3.06</v>
      </c>
      <c r="G1303">
        <v>4</v>
      </c>
      <c r="H1303">
        <v>60.9</v>
      </c>
      <c r="I1303">
        <v>0.82</v>
      </c>
      <c r="J1303" t="s">
        <v>28</v>
      </c>
      <c r="K1303">
        <v>35</v>
      </c>
      <c r="L1303">
        <v>41</v>
      </c>
      <c r="M1303">
        <v>0.79</v>
      </c>
      <c r="N1303">
        <v>4</v>
      </c>
      <c r="O1303">
        <v>0.5</v>
      </c>
      <c r="P1303" t="s">
        <v>24</v>
      </c>
    </row>
    <row r="1304" spans="1:16" x14ac:dyDescent="0.35">
      <c r="A1304" t="s">
        <v>1330</v>
      </c>
      <c r="B1304">
        <v>1303</v>
      </c>
      <c r="C1304">
        <v>24</v>
      </c>
      <c r="D1304" t="s">
        <v>32</v>
      </c>
      <c r="E1304" t="s">
        <v>30</v>
      </c>
      <c r="F1304">
        <v>3.08</v>
      </c>
      <c r="G1304">
        <v>5</v>
      </c>
      <c r="H1304">
        <v>92.1</v>
      </c>
      <c r="I1304">
        <v>0.81</v>
      </c>
      <c r="J1304" t="s">
        <v>23</v>
      </c>
      <c r="K1304">
        <v>33</v>
      </c>
      <c r="L1304">
        <v>35</v>
      </c>
      <c r="M1304">
        <v>0.81</v>
      </c>
      <c r="N1304">
        <v>13</v>
      </c>
      <c r="O1304">
        <v>0.99</v>
      </c>
      <c r="P1304" t="s">
        <v>24</v>
      </c>
    </row>
    <row r="1305" spans="1:16" x14ac:dyDescent="0.35">
      <c r="A1305" t="s">
        <v>1331</v>
      </c>
      <c r="B1305">
        <v>1304</v>
      </c>
      <c r="C1305">
        <v>23</v>
      </c>
      <c r="D1305" t="s">
        <v>32</v>
      </c>
      <c r="E1305" t="s">
        <v>30</v>
      </c>
      <c r="F1305">
        <v>2.56</v>
      </c>
      <c r="G1305">
        <v>6</v>
      </c>
      <c r="H1305">
        <v>91.5</v>
      </c>
      <c r="I1305">
        <v>0.66</v>
      </c>
      <c r="J1305" t="s">
        <v>23</v>
      </c>
      <c r="K1305">
        <v>33</v>
      </c>
      <c r="L1305">
        <v>67</v>
      </c>
      <c r="M1305">
        <v>0.91</v>
      </c>
      <c r="N1305">
        <v>9</v>
      </c>
      <c r="O1305">
        <v>0.68</v>
      </c>
      <c r="P1305" t="s">
        <v>19</v>
      </c>
    </row>
    <row r="1306" spans="1:16" x14ac:dyDescent="0.35">
      <c r="A1306" t="s">
        <v>1332</v>
      </c>
      <c r="B1306">
        <v>1305</v>
      </c>
      <c r="C1306">
        <v>19</v>
      </c>
      <c r="D1306" t="s">
        <v>32</v>
      </c>
      <c r="E1306" t="s">
        <v>46</v>
      </c>
      <c r="F1306">
        <v>2.4300000000000002</v>
      </c>
      <c r="G1306">
        <v>4</v>
      </c>
      <c r="H1306">
        <v>71.900000000000006</v>
      </c>
      <c r="I1306">
        <v>0.6</v>
      </c>
      <c r="J1306" t="s">
        <v>18</v>
      </c>
      <c r="K1306">
        <v>18</v>
      </c>
      <c r="L1306">
        <v>48</v>
      </c>
      <c r="M1306">
        <v>0.67</v>
      </c>
      <c r="N1306">
        <v>1</v>
      </c>
      <c r="O1306">
        <v>0.92</v>
      </c>
      <c r="P1306" t="s">
        <v>19</v>
      </c>
    </row>
    <row r="1307" spans="1:16" x14ac:dyDescent="0.35">
      <c r="A1307" t="s">
        <v>1333</v>
      </c>
      <c r="B1307">
        <v>1306</v>
      </c>
      <c r="C1307">
        <v>24</v>
      </c>
      <c r="D1307" t="s">
        <v>21</v>
      </c>
      <c r="E1307" t="s">
        <v>46</v>
      </c>
      <c r="F1307">
        <v>2.58</v>
      </c>
      <c r="G1307">
        <v>4</v>
      </c>
      <c r="H1307">
        <v>65.400000000000006</v>
      </c>
      <c r="I1307">
        <v>0.92</v>
      </c>
      <c r="J1307" t="s">
        <v>28</v>
      </c>
      <c r="K1307">
        <v>16</v>
      </c>
      <c r="L1307">
        <v>29</v>
      </c>
      <c r="M1307">
        <v>0.6</v>
      </c>
      <c r="N1307">
        <v>4</v>
      </c>
      <c r="O1307">
        <v>0.77</v>
      </c>
      <c r="P1307" t="s">
        <v>24</v>
      </c>
    </row>
    <row r="1308" spans="1:16" x14ac:dyDescent="0.35">
      <c r="A1308" t="s">
        <v>1334</v>
      </c>
      <c r="B1308">
        <v>1307</v>
      </c>
      <c r="C1308">
        <v>25</v>
      </c>
      <c r="D1308" t="s">
        <v>16</v>
      </c>
      <c r="E1308" t="s">
        <v>22</v>
      </c>
      <c r="F1308">
        <v>3.11</v>
      </c>
      <c r="G1308">
        <v>4</v>
      </c>
      <c r="H1308">
        <v>65.8</v>
      </c>
      <c r="I1308">
        <v>0.64</v>
      </c>
      <c r="J1308" t="s">
        <v>18</v>
      </c>
      <c r="K1308">
        <v>4</v>
      </c>
      <c r="L1308">
        <v>59</v>
      </c>
      <c r="M1308">
        <v>0.6</v>
      </c>
      <c r="N1308">
        <v>0</v>
      </c>
      <c r="O1308">
        <v>0.56999999999999995</v>
      </c>
      <c r="P1308" t="s">
        <v>19</v>
      </c>
    </row>
    <row r="1309" spans="1:16" x14ac:dyDescent="0.35">
      <c r="A1309" t="s">
        <v>1335</v>
      </c>
      <c r="B1309">
        <v>1308</v>
      </c>
      <c r="C1309">
        <v>25</v>
      </c>
      <c r="D1309" t="s">
        <v>21</v>
      </c>
      <c r="E1309" t="s">
        <v>17</v>
      </c>
      <c r="F1309">
        <v>2.06</v>
      </c>
      <c r="G1309">
        <v>3</v>
      </c>
      <c r="H1309">
        <v>87.9</v>
      </c>
      <c r="I1309">
        <v>0.85</v>
      </c>
      <c r="J1309" t="s">
        <v>18</v>
      </c>
      <c r="K1309">
        <v>24</v>
      </c>
      <c r="L1309">
        <v>88</v>
      </c>
      <c r="M1309">
        <v>0.87</v>
      </c>
      <c r="N1309">
        <v>9</v>
      </c>
      <c r="O1309">
        <v>0.9</v>
      </c>
      <c r="P1309" t="s">
        <v>19</v>
      </c>
    </row>
    <row r="1310" spans="1:16" x14ac:dyDescent="0.35">
      <c r="A1310" t="s">
        <v>1336</v>
      </c>
      <c r="B1310">
        <v>1309</v>
      </c>
      <c r="C1310">
        <v>18</v>
      </c>
      <c r="D1310" t="s">
        <v>16</v>
      </c>
      <c r="E1310" t="s">
        <v>30</v>
      </c>
      <c r="F1310">
        <v>3.81</v>
      </c>
      <c r="G1310">
        <v>6</v>
      </c>
      <c r="H1310">
        <v>85.7</v>
      </c>
      <c r="I1310">
        <v>0.97</v>
      </c>
      <c r="J1310" t="s">
        <v>23</v>
      </c>
      <c r="K1310">
        <v>17</v>
      </c>
      <c r="L1310">
        <v>61</v>
      </c>
      <c r="M1310">
        <v>0.81</v>
      </c>
      <c r="N1310">
        <v>8</v>
      </c>
      <c r="O1310">
        <v>0.85</v>
      </c>
      <c r="P1310" t="s">
        <v>41</v>
      </c>
    </row>
    <row r="1311" spans="1:16" x14ac:dyDescent="0.35">
      <c r="A1311" t="s">
        <v>1337</v>
      </c>
      <c r="B1311">
        <v>1310</v>
      </c>
      <c r="C1311">
        <v>21</v>
      </c>
      <c r="D1311" t="s">
        <v>32</v>
      </c>
      <c r="E1311" t="s">
        <v>46</v>
      </c>
      <c r="F1311">
        <v>2.31</v>
      </c>
      <c r="G1311">
        <v>4</v>
      </c>
      <c r="H1311">
        <v>91.3</v>
      </c>
      <c r="I1311">
        <v>0.68</v>
      </c>
      <c r="J1311" t="s">
        <v>28</v>
      </c>
      <c r="K1311">
        <v>7</v>
      </c>
      <c r="L1311">
        <v>31</v>
      </c>
      <c r="M1311">
        <v>0.6</v>
      </c>
      <c r="N1311">
        <v>2</v>
      </c>
      <c r="O1311">
        <v>0.76</v>
      </c>
      <c r="P1311" t="s">
        <v>19</v>
      </c>
    </row>
    <row r="1312" spans="1:16" x14ac:dyDescent="0.35">
      <c r="A1312" t="s">
        <v>1338</v>
      </c>
      <c r="B1312">
        <v>1311</v>
      </c>
      <c r="C1312">
        <v>20</v>
      </c>
      <c r="D1312" t="s">
        <v>21</v>
      </c>
      <c r="E1312" t="s">
        <v>17</v>
      </c>
      <c r="F1312">
        <v>2.44</v>
      </c>
      <c r="G1312">
        <v>3</v>
      </c>
      <c r="H1312">
        <v>97.5</v>
      </c>
      <c r="I1312">
        <v>0.87</v>
      </c>
      <c r="J1312" t="s">
        <v>23</v>
      </c>
      <c r="K1312">
        <v>26</v>
      </c>
      <c r="L1312">
        <v>62</v>
      </c>
      <c r="M1312">
        <v>0.56999999999999995</v>
      </c>
      <c r="N1312">
        <v>14</v>
      </c>
      <c r="O1312">
        <v>0.76</v>
      </c>
      <c r="P1312" t="s">
        <v>19</v>
      </c>
    </row>
    <row r="1313" spans="1:16" x14ac:dyDescent="0.35">
      <c r="A1313" t="s">
        <v>1339</v>
      </c>
      <c r="B1313">
        <v>1312</v>
      </c>
      <c r="C1313">
        <v>19</v>
      </c>
      <c r="D1313" t="s">
        <v>16</v>
      </c>
      <c r="E1313" t="s">
        <v>17</v>
      </c>
      <c r="F1313">
        <v>3.04</v>
      </c>
      <c r="G1313">
        <v>6</v>
      </c>
      <c r="H1313">
        <v>87.7</v>
      </c>
      <c r="I1313">
        <v>0.63</v>
      </c>
      <c r="J1313" t="s">
        <v>18</v>
      </c>
      <c r="K1313">
        <v>14</v>
      </c>
      <c r="L1313">
        <v>75</v>
      </c>
      <c r="M1313">
        <v>0.56000000000000005</v>
      </c>
      <c r="N1313">
        <v>3</v>
      </c>
      <c r="O1313">
        <v>0.54</v>
      </c>
      <c r="P1313" t="s">
        <v>19</v>
      </c>
    </row>
    <row r="1314" spans="1:16" x14ac:dyDescent="0.35">
      <c r="A1314" t="s">
        <v>1340</v>
      </c>
      <c r="B1314">
        <v>1313</v>
      </c>
      <c r="C1314">
        <v>18</v>
      </c>
      <c r="D1314" t="s">
        <v>16</v>
      </c>
      <c r="E1314" t="s">
        <v>46</v>
      </c>
      <c r="F1314">
        <v>3.42</v>
      </c>
      <c r="G1314">
        <v>4</v>
      </c>
      <c r="H1314">
        <v>66.2</v>
      </c>
      <c r="I1314">
        <v>0.84</v>
      </c>
      <c r="J1314" t="s">
        <v>18</v>
      </c>
      <c r="K1314">
        <v>12</v>
      </c>
      <c r="L1314">
        <v>52</v>
      </c>
      <c r="M1314">
        <v>0.81</v>
      </c>
      <c r="N1314">
        <v>12</v>
      </c>
      <c r="O1314">
        <v>0.83</v>
      </c>
      <c r="P1314" t="s">
        <v>24</v>
      </c>
    </row>
    <row r="1315" spans="1:16" x14ac:dyDescent="0.35">
      <c r="A1315" t="s">
        <v>1341</v>
      </c>
      <c r="B1315">
        <v>1314</v>
      </c>
      <c r="C1315">
        <v>22</v>
      </c>
      <c r="D1315" t="s">
        <v>32</v>
      </c>
      <c r="E1315" t="s">
        <v>30</v>
      </c>
      <c r="F1315">
        <v>2.19</v>
      </c>
      <c r="G1315">
        <v>5</v>
      </c>
      <c r="H1315">
        <v>69.7</v>
      </c>
      <c r="I1315">
        <v>0.67</v>
      </c>
      <c r="J1315" t="s">
        <v>23</v>
      </c>
      <c r="K1315">
        <v>15</v>
      </c>
      <c r="L1315">
        <v>32</v>
      </c>
      <c r="M1315">
        <v>0.5</v>
      </c>
      <c r="N1315">
        <v>5</v>
      </c>
      <c r="O1315">
        <v>0.96</v>
      </c>
      <c r="P1315" t="s">
        <v>19</v>
      </c>
    </row>
    <row r="1316" spans="1:16" x14ac:dyDescent="0.35">
      <c r="A1316" t="s">
        <v>1342</v>
      </c>
      <c r="B1316">
        <v>1315</v>
      </c>
      <c r="C1316">
        <v>23</v>
      </c>
      <c r="D1316" t="s">
        <v>21</v>
      </c>
      <c r="E1316" t="s">
        <v>22</v>
      </c>
      <c r="F1316">
        <v>2.64</v>
      </c>
      <c r="G1316">
        <v>3</v>
      </c>
      <c r="H1316">
        <v>93.7</v>
      </c>
      <c r="I1316">
        <v>0.89</v>
      </c>
      <c r="J1316" t="s">
        <v>23</v>
      </c>
      <c r="K1316">
        <v>21</v>
      </c>
      <c r="L1316">
        <v>86</v>
      </c>
      <c r="M1316">
        <v>0.51</v>
      </c>
      <c r="N1316">
        <v>19</v>
      </c>
      <c r="O1316">
        <v>0.55000000000000004</v>
      </c>
      <c r="P1316" t="s">
        <v>24</v>
      </c>
    </row>
    <row r="1317" spans="1:16" x14ac:dyDescent="0.35">
      <c r="A1317" t="s">
        <v>1343</v>
      </c>
      <c r="B1317">
        <v>1316</v>
      </c>
      <c r="C1317">
        <v>21</v>
      </c>
      <c r="D1317" t="s">
        <v>21</v>
      </c>
      <c r="E1317" t="s">
        <v>17</v>
      </c>
      <c r="F1317">
        <v>3.94</v>
      </c>
      <c r="G1317">
        <v>3</v>
      </c>
      <c r="H1317">
        <v>68.400000000000006</v>
      </c>
      <c r="I1317">
        <v>0.72</v>
      </c>
      <c r="J1317" t="s">
        <v>23</v>
      </c>
      <c r="K1317">
        <v>19</v>
      </c>
      <c r="L1317">
        <v>73</v>
      </c>
      <c r="M1317">
        <v>0.69</v>
      </c>
      <c r="N1317">
        <v>16</v>
      </c>
      <c r="O1317">
        <v>0.63</v>
      </c>
      <c r="P1317" t="s">
        <v>19</v>
      </c>
    </row>
    <row r="1318" spans="1:16" x14ac:dyDescent="0.35">
      <c r="A1318" t="s">
        <v>1344</v>
      </c>
      <c r="B1318">
        <v>1317</v>
      </c>
      <c r="C1318">
        <v>19</v>
      </c>
      <c r="D1318" t="s">
        <v>21</v>
      </c>
      <c r="E1318" t="s">
        <v>22</v>
      </c>
      <c r="F1318">
        <v>2.52</v>
      </c>
      <c r="G1318">
        <v>4</v>
      </c>
      <c r="H1318">
        <v>62.9</v>
      </c>
      <c r="I1318">
        <v>0.79</v>
      </c>
      <c r="J1318" t="s">
        <v>23</v>
      </c>
      <c r="K1318">
        <v>12</v>
      </c>
      <c r="L1318">
        <v>18</v>
      </c>
      <c r="M1318">
        <v>0.85</v>
      </c>
      <c r="N1318">
        <v>4</v>
      </c>
      <c r="O1318">
        <v>0.95</v>
      </c>
      <c r="P1318" t="s">
        <v>24</v>
      </c>
    </row>
    <row r="1319" spans="1:16" x14ac:dyDescent="0.35">
      <c r="A1319" t="s">
        <v>1345</v>
      </c>
      <c r="B1319">
        <v>1318</v>
      </c>
      <c r="C1319">
        <v>25</v>
      </c>
      <c r="D1319" t="s">
        <v>32</v>
      </c>
      <c r="E1319" t="s">
        <v>30</v>
      </c>
      <c r="F1319">
        <v>2.63</v>
      </c>
      <c r="G1319">
        <v>4</v>
      </c>
      <c r="H1319">
        <v>88.1</v>
      </c>
      <c r="I1319">
        <v>0.84</v>
      </c>
      <c r="J1319" t="s">
        <v>23</v>
      </c>
      <c r="K1319">
        <v>19</v>
      </c>
      <c r="L1319">
        <v>16</v>
      </c>
      <c r="M1319">
        <v>0.85</v>
      </c>
      <c r="N1319">
        <v>14</v>
      </c>
      <c r="O1319">
        <v>0.64</v>
      </c>
      <c r="P1319" t="s">
        <v>24</v>
      </c>
    </row>
    <row r="1320" spans="1:16" x14ac:dyDescent="0.35">
      <c r="A1320" t="s">
        <v>1346</v>
      </c>
      <c r="B1320">
        <v>1319</v>
      </c>
      <c r="C1320">
        <v>19</v>
      </c>
      <c r="D1320" t="s">
        <v>21</v>
      </c>
      <c r="E1320" t="s">
        <v>30</v>
      </c>
      <c r="F1320">
        <v>3.67</v>
      </c>
      <c r="G1320">
        <v>3</v>
      </c>
      <c r="H1320">
        <v>76.099999999999994</v>
      </c>
      <c r="I1320">
        <v>0.67</v>
      </c>
      <c r="J1320" t="s">
        <v>18</v>
      </c>
      <c r="K1320">
        <v>1</v>
      </c>
      <c r="L1320">
        <v>50</v>
      </c>
      <c r="M1320">
        <v>0.72</v>
      </c>
      <c r="N1320">
        <v>7</v>
      </c>
      <c r="O1320">
        <v>0.83</v>
      </c>
      <c r="P1320" t="s">
        <v>19</v>
      </c>
    </row>
    <row r="1321" spans="1:16" x14ac:dyDescent="0.35">
      <c r="A1321" t="s">
        <v>1347</v>
      </c>
      <c r="B1321">
        <v>1320</v>
      </c>
      <c r="C1321">
        <v>20</v>
      </c>
      <c r="D1321" t="s">
        <v>32</v>
      </c>
      <c r="E1321" t="s">
        <v>22</v>
      </c>
      <c r="F1321">
        <v>2.1</v>
      </c>
      <c r="G1321">
        <v>5</v>
      </c>
      <c r="H1321">
        <v>96.8</v>
      </c>
      <c r="I1321">
        <v>0.9</v>
      </c>
      <c r="J1321" t="s">
        <v>23</v>
      </c>
      <c r="K1321">
        <v>34</v>
      </c>
      <c r="L1321">
        <v>63</v>
      </c>
      <c r="M1321">
        <v>0.85</v>
      </c>
      <c r="N1321">
        <v>4</v>
      </c>
      <c r="O1321">
        <v>0.77</v>
      </c>
      <c r="P1321" t="s">
        <v>19</v>
      </c>
    </row>
    <row r="1322" spans="1:16" x14ac:dyDescent="0.35">
      <c r="A1322" t="s">
        <v>1348</v>
      </c>
      <c r="B1322">
        <v>1321</v>
      </c>
      <c r="C1322">
        <v>25</v>
      </c>
      <c r="D1322" t="s">
        <v>32</v>
      </c>
      <c r="E1322" t="s">
        <v>30</v>
      </c>
      <c r="F1322">
        <v>2.93</v>
      </c>
      <c r="G1322">
        <v>5</v>
      </c>
      <c r="H1322">
        <v>86</v>
      </c>
      <c r="I1322">
        <v>0.72</v>
      </c>
      <c r="J1322" t="s">
        <v>28</v>
      </c>
      <c r="K1322">
        <v>18</v>
      </c>
      <c r="L1322">
        <v>74</v>
      </c>
      <c r="M1322">
        <v>0.76</v>
      </c>
      <c r="N1322">
        <v>12</v>
      </c>
      <c r="O1322">
        <v>0.8</v>
      </c>
      <c r="P1322" t="s">
        <v>19</v>
      </c>
    </row>
    <row r="1323" spans="1:16" x14ac:dyDescent="0.35">
      <c r="A1323" t="s">
        <v>1349</v>
      </c>
      <c r="B1323">
        <v>1322</v>
      </c>
      <c r="C1323">
        <v>20</v>
      </c>
      <c r="D1323" t="s">
        <v>32</v>
      </c>
      <c r="E1323" t="s">
        <v>17</v>
      </c>
      <c r="F1323">
        <v>2.76</v>
      </c>
      <c r="G1323">
        <v>6</v>
      </c>
      <c r="H1323">
        <v>63.6</v>
      </c>
      <c r="I1323">
        <v>0.86</v>
      </c>
      <c r="J1323" t="s">
        <v>18</v>
      </c>
      <c r="K1323">
        <v>36</v>
      </c>
      <c r="L1323">
        <v>11</v>
      </c>
      <c r="M1323">
        <v>0.99</v>
      </c>
      <c r="N1323">
        <v>0</v>
      </c>
      <c r="O1323">
        <v>0.71</v>
      </c>
      <c r="P1323" t="s">
        <v>24</v>
      </c>
    </row>
    <row r="1324" spans="1:16" x14ac:dyDescent="0.35">
      <c r="A1324" t="s">
        <v>1350</v>
      </c>
      <c r="B1324">
        <v>1323</v>
      </c>
      <c r="C1324">
        <v>22</v>
      </c>
      <c r="D1324" t="s">
        <v>16</v>
      </c>
      <c r="E1324" t="s">
        <v>22</v>
      </c>
      <c r="F1324">
        <v>2.63</v>
      </c>
      <c r="G1324">
        <v>4</v>
      </c>
      <c r="H1324">
        <v>97.9</v>
      </c>
      <c r="I1324">
        <v>0.66</v>
      </c>
      <c r="J1324" t="s">
        <v>18</v>
      </c>
      <c r="K1324">
        <v>5</v>
      </c>
      <c r="L1324">
        <v>13</v>
      </c>
      <c r="M1324">
        <v>0.57999999999999996</v>
      </c>
      <c r="N1324">
        <v>0</v>
      </c>
      <c r="O1324">
        <v>0.65</v>
      </c>
      <c r="P1324" t="s">
        <v>19</v>
      </c>
    </row>
    <row r="1325" spans="1:16" x14ac:dyDescent="0.35">
      <c r="A1325" t="s">
        <v>1351</v>
      </c>
      <c r="B1325">
        <v>1324</v>
      </c>
      <c r="C1325">
        <v>23</v>
      </c>
      <c r="D1325" t="s">
        <v>21</v>
      </c>
      <c r="E1325" t="s">
        <v>30</v>
      </c>
      <c r="F1325">
        <v>2.57</v>
      </c>
      <c r="G1325">
        <v>5</v>
      </c>
      <c r="H1325">
        <v>70.3</v>
      </c>
      <c r="I1325">
        <v>0.88</v>
      </c>
      <c r="J1325" t="s">
        <v>28</v>
      </c>
      <c r="K1325">
        <v>13</v>
      </c>
      <c r="L1325">
        <v>87</v>
      </c>
      <c r="M1325">
        <v>0.8</v>
      </c>
      <c r="N1325">
        <v>6</v>
      </c>
      <c r="O1325">
        <v>0.52</v>
      </c>
      <c r="P1325" t="s">
        <v>24</v>
      </c>
    </row>
    <row r="1326" spans="1:16" x14ac:dyDescent="0.35">
      <c r="A1326" t="s">
        <v>1352</v>
      </c>
      <c r="B1326">
        <v>1325</v>
      </c>
      <c r="C1326">
        <v>22</v>
      </c>
      <c r="D1326" t="s">
        <v>21</v>
      </c>
      <c r="E1326" t="s">
        <v>22</v>
      </c>
      <c r="F1326">
        <v>2.1800000000000002</v>
      </c>
      <c r="G1326">
        <v>6</v>
      </c>
      <c r="H1326">
        <v>73.5</v>
      </c>
      <c r="I1326">
        <v>0.65</v>
      </c>
      <c r="J1326" t="s">
        <v>28</v>
      </c>
      <c r="K1326">
        <v>3</v>
      </c>
      <c r="L1326">
        <v>41</v>
      </c>
      <c r="M1326">
        <v>0.75</v>
      </c>
      <c r="N1326">
        <v>4</v>
      </c>
      <c r="O1326">
        <v>0.87</v>
      </c>
      <c r="P1326" t="s">
        <v>19</v>
      </c>
    </row>
    <row r="1327" spans="1:16" x14ac:dyDescent="0.35">
      <c r="A1327" t="s">
        <v>1353</v>
      </c>
      <c r="B1327">
        <v>1326</v>
      </c>
      <c r="C1327">
        <v>18</v>
      </c>
      <c r="D1327" t="s">
        <v>32</v>
      </c>
      <c r="E1327" t="s">
        <v>17</v>
      </c>
      <c r="F1327">
        <v>2.63</v>
      </c>
      <c r="G1327">
        <v>5</v>
      </c>
      <c r="H1327">
        <v>76.099999999999994</v>
      </c>
      <c r="I1327">
        <v>0.77</v>
      </c>
      <c r="J1327" t="s">
        <v>18</v>
      </c>
      <c r="K1327">
        <v>21</v>
      </c>
      <c r="L1327">
        <v>11</v>
      </c>
      <c r="M1327">
        <v>0.6</v>
      </c>
      <c r="N1327">
        <v>13</v>
      </c>
      <c r="O1327">
        <v>0.87</v>
      </c>
      <c r="P1327" t="s">
        <v>24</v>
      </c>
    </row>
    <row r="1328" spans="1:16" x14ac:dyDescent="0.35">
      <c r="A1328" t="s">
        <v>1354</v>
      </c>
      <c r="B1328">
        <v>1327</v>
      </c>
      <c r="C1328">
        <v>18</v>
      </c>
      <c r="D1328" t="s">
        <v>32</v>
      </c>
      <c r="E1328" t="s">
        <v>30</v>
      </c>
      <c r="F1328">
        <v>2.09</v>
      </c>
      <c r="G1328">
        <v>4</v>
      </c>
      <c r="H1328">
        <v>62</v>
      </c>
      <c r="I1328">
        <v>0.7</v>
      </c>
      <c r="J1328" t="s">
        <v>23</v>
      </c>
      <c r="K1328">
        <v>38</v>
      </c>
      <c r="L1328">
        <v>73</v>
      </c>
      <c r="M1328">
        <v>0.87</v>
      </c>
      <c r="N1328">
        <v>14</v>
      </c>
      <c r="O1328">
        <v>0.84</v>
      </c>
      <c r="P1328" t="s">
        <v>19</v>
      </c>
    </row>
    <row r="1329" spans="1:16" x14ac:dyDescent="0.35">
      <c r="A1329" t="s">
        <v>1355</v>
      </c>
      <c r="B1329">
        <v>1328</v>
      </c>
      <c r="C1329">
        <v>22</v>
      </c>
      <c r="D1329" t="s">
        <v>21</v>
      </c>
      <c r="E1329" t="s">
        <v>17</v>
      </c>
      <c r="F1329">
        <v>3.56</v>
      </c>
      <c r="G1329">
        <v>6</v>
      </c>
      <c r="H1329">
        <v>79.900000000000006</v>
      </c>
      <c r="I1329">
        <v>0.9</v>
      </c>
      <c r="J1329" t="s">
        <v>18</v>
      </c>
      <c r="K1329">
        <v>35</v>
      </c>
      <c r="L1329">
        <v>23</v>
      </c>
      <c r="M1329">
        <v>0.64</v>
      </c>
      <c r="N1329">
        <v>16</v>
      </c>
      <c r="O1329">
        <v>0.82</v>
      </c>
      <c r="P1329" t="s">
        <v>41</v>
      </c>
    </row>
    <row r="1330" spans="1:16" x14ac:dyDescent="0.35">
      <c r="A1330" t="s">
        <v>1356</v>
      </c>
      <c r="B1330">
        <v>1329</v>
      </c>
      <c r="C1330">
        <v>23</v>
      </c>
      <c r="D1330" t="s">
        <v>32</v>
      </c>
      <c r="E1330" t="s">
        <v>30</v>
      </c>
      <c r="F1330">
        <v>2.8</v>
      </c>
      <c r="G1330">
        <v>6</v>
      </c>
      <c r="H1330">
        <v>64.900000000000006</v>
      </c>
      <c r="I1330">
        <v>0.7</v>
      </c>
      <c r="J1330" t="s">
        <v>18</v>
      </c>
      <c r="K1330">
        <v>33</v>
      </c>
      <c r="L1330">
        <v>29</v>
      </c>
      <c r="M1330">
        <v>0.69</v>
      </c>
      <c r="N1330">
        <v>17</v>
      </c>
      <c r="O1330">
        <v>0.62</v>
      </c>
      <c r="P1330" t="s">
        <v>19</v>
      </c>
    </row>
    <row r="1331" spans="1:16" x14ac:dyDescent="0.35">
      <c r="A1331" t="s">
        <v>1357</v>
      </c>
      <c r="B1331">
        <v>1330</v>
      </c>
      <c r="C1331">
        <v>22</v>
      </c>
      <c r="D1331" t="s">
        <v>21</v>
      </c>
      <c r="E1331" t="s">
        <v>46</v>
      </c>
      <c r="F1331">
        <v>2.89</v>
      </c>
      <c r="G1331">
        <v>6</v>
      </c>
      <c r="H1331">
        <v>76</v>
      </c>
      <c r="I1331">
        <v>0.95</v>
      </c>
      <c r="J1331" t="s">
        <v>28</v>
      </c>
      <c r="K1331">
        <v>26</v>
      </c>
      <c r="L1331">
        <v>58</v>
      </c>
      <c r="M1331">
        <v>0.69</v>
      </c>
      <c r="N1331">
        <v>6</v>
      </c>
      <c r="O1331">
        <v>0.51</v>
      </c>
      <c r="P1331" t="s">
        <v>24</v>
      </c>
    </row>
    <row r="1332" spans="1:16" x14ac:dyDescent="0.35">
      <c r="A1332" t="s">
        <v>1358</v>
      </c>
      <c r="B1332">
        <v>1331</v>
      </c>
      <c r="C1332">
        <v>23</v>
      </c>
      <c r="D1332" t="s">
        <v>16</v>
      </c>
      <c r="E1332" t="s">
        <v>30</v>
      </c>
      <c r="F1332">
        <v>3.79</v>
      </c>
      <c r="G1332">
        <v>5</v>
      </c>
      <c r="H1332">
        <v>74</v>
      </c>
      <c r="I1332">
        <v>0.96</v>
      </c>
      <c r="J1332" t="s">
        <v>18</v>
      </c>
      <c r="K1332">
        <v>6</v>
      </c>
      <c r="L1332">
        <v>17</v>
      </c>
      <c r="M1332">
        <v>0.62</v>
      </c>
      <c r="N1332">
        <v>17</v>
      </c>
      <c r="O1332">
        <v>0.9</v>
      </c>
      <c r="P1332" t="s">
        <v>41</v>
      </c>
    </row>
    <row r="1333" spans="1:16" x14ac:dyDescent="0.35">
      <c r="A1333" t="s">
        <v>1359</v>
      </c>
      <c r="B1333">
        <v>1332</v>
      </c>
      <c r="C1333">
        <v>23</v>
      </c>
      <c r="D1333" t="s">
        <v>32</v>
      </c>
      <c r="E1333" t="s">
        <v>22</v>
      </c>
      <c r="F1333">
        <v>3.32</v>
      </c>
      <c r="G1333">
        <v>4</v>
      </c>
      <c r="H1333">
        <v>90.9</v>
      </c>
      <c r="I1333">
        <v>0.68</v>
      </c>
      <c r="J1333" t="s">
        <v>23</v>
      </c>
      <c r="K1333">
        <v>2</v>
      </c>
      <c r="L1333">
        <v>72</v>
      </c>
      <c r="M1333">
        <v>0.72</v>
      </c>
      <c r="N1333">
        <v>18</v>
      </c>
      <c r="O1333">
        <v>0.75</v>
      </c>
      <c r="P1333" t="s">
        <v>19</v>
      </c>
    </row>
    <row r="1334" spans="1:16" x14ac:dyDescent="0.35">
      <c r="A1334" t="s">
        <v>1360</v>
      </c>
      <c r="B1334">
        <v>1333</v>
      </c>
      <c r="C1334">
        <v>24</v>
      </c>
      <c r="D1334" t="s">
        <v>21</v>
      </c>
      <c r="E1334" t="s">
        <v>30</v>
      </c>
      <c r="F1334">
        <v>2.02</v>
      </c>
      <c r="G1334">
        <v>6</v>
      </c>
      <c r="H1334">
        <v>92.1</v>
      </c>
      <c r="I1334">
        <v>0.85</v>
      </c>
      <c r="J1334" t="s">
        <v>28</v>
      </c>
      <c r="K1334">
        <v>32</v>
      </c>
      <c r="L1334">
        <v>55</v>
      </c>
      <c r="M1334">
        <v>0.74</v>
      </c>
      <c r="N1334">
        <v>19</v>
      </c>
      <c r="O1334">
        <v>0.65</v>
      </c>
      <c r="P1334" t="s">
        <v>19</v>
      </c>
    </row>
    <row r="1335" spans="1:16" x14ac:dyDescent="0.35">
      <c r="A1335" t="s">
        <v>1361</v>
      </c>
      <c r="B1335">
        <v>1334</v>
      </c>
      <c r="C1335">
        <v>25</v>
      </c>
      <c r="D1335" t="s">
        <v>32</v>
      </c>
      <c r="E1335" t="s">
        <v>17</v>
      </c>
      <c r="F1335">
        <v>3.89</v>
      </c>
      <c r="G1335">
        <v>3</v>
      </c>
      <c r="H1335">
        <v>66.099999999999994</v>
      </c>
      <c r="I1335">
        <v>0.64</v>
      </c>
      <c r="J1335" t="s">
        <v>18</v>
      </c>
      <c r="K1335">
        <v>1</v>
      </c>
      <c r="L1335">
        <v>30</v>
      </c>
      <c r="M1335">
        <v>0.87</v>
      </c>
      <c r="N1335">
        <v>6</v>
      </c>
      <c r="O1335">
        <v>0.55000000000000004</v>
      </c>
      <c r="P1335" t="s">
        <v>19</v>
      </c>
    </row>
    <row r="1336" spans="1:16" x14ac:dyDescent="0.35">
      <c r="A1336" t="s">
        <v>1362</v>
      </c>
      <c r="B1336">
        <v>1335</v>
      </c>
      <c r="C1336">
        <v>21</v>
      </c>
      <c r="D1336" t="s">
        <v>21</v>
      </c>
      <c r="E1336" t="s">
        <v>17</v>
      </c>
      <c r="F1336">
        <v>2.4700000000000002</v>
      </c>
      <c r="G1336">
        <v>4</v>
      </c>
      <c r="H1336">
        <v>74.7</v>
      </c>
      <c r="I1336">
        <v>0.76</v>
      </c>
      <c r="J1336" t="s">
        <v>18</v>
      </c>
      <c r="K1336">
        <v>15</v>
      </c>
      <c r="L1336">
        <v>41</v>
      </c>
      <c r="M1336">
        <v>0.88</v>
      </c>
      <c r="N1336">
        <v>7</v>
      </c>
      <c r="O1336">
        <v>0.53</v>
      </c>
      <c r="P1336" t="s">
        <v>19</v>
      </c>
    </row>
    <row r="1337" spans="1:16" x14ac:dyDescent="0.35">
      <c r="A1337" t="s">
        <v>1363</v>
      </c>
      <c r="B1337">
        <v>1336</v>
      </c>
      <c r="C1337">
        <v>23</v>
      </c>
      <c r="D1337" t="s">
        <v>21</v>
      </c>
      <c r="E1337" t="s">
        <v>30</v>
      </c>
      <c r="F1337">
        <v>2.2200000000000002</v>
      </c>
      <c r="G1337">
        <v>3</v>
      </c>
      <c r="H1337">
        <v>74.900000000000006</v>
      </c>
      <c r="I1337">
        <v>0.89</v>
      </c>
      <c r="J1337" t="s">
        <v>23</v>
      </c>
      <c r="K1337">
        <v>24</v>
      </c>
      <c r="L1337">
        <v>17</v>
      </c>
      <c r="M1337">
        <v>0.57999999999999996</v>
      </c>
      <c r="N1337">
        <v>12</v>
      </c>
      <c r="O1337">
        <v>0.67</v>
      </c>
      <c r="P1337" t="s">
        <v>19</v>
      </c>
    </row>
    <row r="1338" spans="1:16" x14ac:dyDescent="0.35">
      <c r="A1338" t="s">
        <v>1364</v>
      </c>
      <c r="B1338">
        <v>1337</v>
      </c>
      <c r="C1338">
        <v>20</v>
      </c>
      <c r="D1338" t="s">
        <v>32</v>
      </c>
      <c r="E1338" t="s">
        <v>22</v>
      </c>
      <c r="F1338">
        <v>3.54</v>
      </c>
      <c r="G1338">
        <v>3</v>
      </c>
      <c r="H1338">
        <v>66.099999999999994</v>
      </c>
      <c r="I1338">
        <v>0.86</v>
      </c>
      <c r="J1338" t="s">
        <v>18</v>
      </c>
      <c r="K1338">
        <v>14</v>
      </c>
      <c r="L1338">
        <v>25</v>
      </c>
      <c r="M1338">
        <v>0.8</v>
      </c>
      <c r="N1338">
        <v>17</v>
      </c>
      <c r="O1338">
        <v>0.9</v>
      </c>
      <c r="P1338" t="s">
        <v>41</v>
      </c>
    </row>
    <row r="1339" spans="1:16" x14ac:dyDescent="0.35">
      <c r="A1339" t="s">
        <v>1365</v>
      </c>
      <c r="B1339">
        <v>1338</v>
      </c>
      <c r="C1339">
        <v>23</v>
      </c>
      <c r="D1339" t="s">
        <v>16</v>
      </c>
      <c r="E1339" t="s">
        <v>46</v>
      </c>
      <c r="F1339">
        <v>3</v>
      </c>
      <c r="G1339">
        <v>6</v>
      </c>
      <c r="H1339">
        <v>91.9</v>
      </c>
      <c r="I1339">
        <v>0.85</v>
      </c>
      <c r="J1339" t="s">
        <v>18</v>
      </c>
      <c r="K1339">
        <v>23</v>
      </c>
      <c r="L1339">
        <v>49</v>
      </c>
      <c r="M1339">
        <v>0.95</v>
      </c>
      <c r="N1339">
        <v>10</v>
      </c>
      <c r="O1339">
        <v>0.96</v>
      </c>
      <c r="P1339" t="s">
        <v>41</v>
      </c>
    </row>
    <row r="1340" spans="1:16" x14ac:dyDescent="0.35">
      <c r="A1340" t="s">
        <v>1366</v>
      </c>
      <c r="B1340">
        <v>1339</v>
      </c>
      <c r="C1340">
        <v>23</v>
      </c>
      <c r="D1340" t="s">
        <v>21</v>
      </c>
      <c r="E1340" t="s">
        <v>22</v>
      </c>
      <c r="F1340">
        <v>2.87</v>
      </c>
      <c r="G1340">
        <v>6</v>
      </c>
      <c r="H1340">
        <v>88.3</v>
      </c>
      <c r="I1340">
        <v>0.71</v>
      </c>
      <c r="J1340" t="s">
        <v>18</v>
      </c>
      <c r="K1340">
        <v>14</v>
      </c>
      <c r="L1340">
        <v>36</v>
      </c>
      <c r="M1340">
        <v>0.55000000000000004</v>
      </c>
      <c r="N1340">
        <v>8</v>
      </c>
      <c r="O1340">
        <v>0.95</v>
      </c>
      <c r="P1340" t="s">
        <v>19</v>
      </c>
    </row>
    <row r="1341" spans="1:16" x14ac:dyDescent="0.35">
      <c r="A1341" t="s">
        <v>1367</v>
      </c>
      <c r="B1341">
        <v>1340</v>
      </c>
      <c r="C1341">
        <v>23</v>
      </c>
      <c r="D1341" t="s">
        <v>21</v>
      </c>
      <c r="E1341" t="s">
        <v>46</v>
      </c>
      <c r="F1341">
        <v>2.5</v>
      </c>
      <c r="G1341">
        <v>5</v>
      </c>
      <c r="H1341">
        <v>67.599999999999994</v>
      </c>
      <c r="I1341">
        <v>0.75</v>
      </c>
      <c r="J1341" t="s">
        <v>18</v>
      </c>
      <c r="K1341">
        <v>30</v>
      </c>
      <c r="L1341">
        <v>27</v>
      </c>
      <c r="M1341">
        <v>0.74</v>
      </c>
      <c r="N1341">
        <v>0</v>
      </c>
      <c r="O1341">
        <v>0.96</v>
      </c>
      <c r="P1341" t="s">
        <v>24</v>
      </c>
    </row>
    <row r="1342" spans="1:16" x14ac:dyDescent="0.35">
      <c r="A1342" t="s">
        <v>1368</v>
      </c>
      <c r="B1342">
        <v>1341</v>
      </c>
      <c r="C1342">
        <v>24</v>
      </c>
      <c r="D1342" t="s">
        <v>21</v>
      </c>
      <c r="E1342" t="s">
        <v>17</v>
      </c>
      <c r="F1342">
        <v>3.09</v>
      </c>
      <c r="G1342">
        <v>5</v>
      </c>
      <c r="H1342">
        <v>74.7</v>
      </c>
      <c r="I1342">
        <v>0.64</v>
      </c>
      <c r="J1342" t="s">
        <v>23</v>
      </c>
      <c r="K1342">
        <v>13</v>
      </c>
      <c r="L1342">
        <v>44</v>
      </c>
      <c r="M1342">
        <v>0.88</v>
      </c>
      <c r="N1342">
        <v>7</v>
      </c>
      <c r="O1342">
        <v>0.95</v>
      </c>
      <c r="P1342" t="s">
        <v>19</v>
      </c>
    </row>
    <row r="1343" spans="1:16" x14ac:dyDescent="0.35">
      <c r="A1343" t="s">
        <v>1369</v>
      </c>
      <c r="B1343">
        <v>1342</v>
      </c>
      <c r="C1343">
        <v>25</v>
      </c>
      <c r="D1343" t="s">
        <v>16</v>
      </c>
      <c r="E1343" t="s">
        <v>22</v>
      </c>
      <c r="F1343">
        <v>2.5499999999999998</v>
      </c>
      <c r="G1343">
        <v>5</v>
      </c>
      <c r="H1343">
        <v>64.2</v>
      </c>
      <c r="I1343">
        <v>0.89</v>
      </c>
      <c r="J1343" t="s">
        <v>18</v>
      </c>
      <c r="K1343">
        <v>13</v>
      </c>
      <c r="L1343">
        <v>61</v>
      </c>
      <c r="M1343">
        <v>0.81</v>
      </c>
      <c r="N1343">
        <v>11</v>
      </c>
      <c r="O1343">
        <v>0.76</v>
      </c>
      <c r="P1343" t="s">
        <v>24</v>
      </c>
    </row>
    <row r="1344" spans="1:16" x14ac:dyDescent="0.35">
      <c r="A1344" t="s">
        <v>1370</v>
      </c>
      <c r="B1344">
        <v>1343</v>
      </c>
      <c r="C1344">
        <v>24</v>
      </c>
      <c r="D1344" t="s">
        <v>16</v>
      </c>
      <c r="E1344" t="s">
        <v>46</v>
      </c>
      <c r="F1344">
        <v>3.8</v>
      </c>
      <c r="G1344">
        <v>4</v>
      </c>
      <c r="H1344">
        <v>85.1</v>
      </c>
      <c r="I1344">
        <v>0.8</v>
      </c>
      <c r="J1344" t="s">
        <v>18</v>
      </c>
      <c r="K1344">
        <v>5</v>
      </c>
      <c r="L1344">
        <v>24</v>
      </c>
      <c r="M1344">
        <v>0.55000000000000004</v>
      </c>
      <c r="N1344">
        <v>1</v>
      </c>
      <c r="O1344">
        <v>0.61</v>
      </c>
      <c r="P1344" t="s">
        <v>24</v>
      </c>
    </row>
    <row r="1345" spans="1:16" x14ac:dyDescent="0.35">
      <c r="A1345" t="s">
        <v>1371</v>
      </c>
      <c r="B1345">
        <v>1344</v>
      </c>
      <c r="C1345">
        <v>18</v>
      </c>
      <c r="D1345" t="s">
        <v>32</v>
      </c>
      <c r="E1345" t="s">
        <v>30</v>
      </c>
      <c r="F1345">
        <v>2.4300000000000002</v>
      </c>
      <c r="G1345">
        <v>5</v>
      </c>
      <c r="H1345">
        <v>64.900000000000006</v>
      </c>
      <c r="I1345">
        <v>0.88</v>
      </c>
      <c r="J1345" t="s">
        <v>18</v>
      </c>
      <c r="K1345">
        <v>13</v>
      </c>
      <c r="L1345">
        <v>72</v>
      </c>
      <c r="M1345">
        <v>0.7</v>
      </c>
      <c r="N1345">
        <v>14</v>
      </c>
      <c r="O1345">
        <v>0.9</v>
      </c>
      <c r="P1345" t="s">
        <v>19</v>
      </c>
    </row>
    <row r="1346" spans="1:16" x14ac:dyDescent="0.35">
      <c r="A1346" t="s">
        <v>1372</v>
      </c>
      <c r="B1346">
        <v>1345</v>
      </c>
      <c r="C1346">
        <v>24</v>
      </c>
      <c r="D1346" t="s">
        <v>16</v>
      </c>
      <c r="E1346" t="s">
        <v>17</v>
      </c>
      <c r="F1346">
        <v>3.77</v>
      </c>
      <c r="G1346">
        <v>3</v>
      </c>
      <c r="H1346">
        <v>99.4</v>
      </c>
      <c r="I1346">
        <v>0.7</v>
      </c>
      <c r="J1346" t="s">
        <v>28</v>
      </c>
      <c r="K1346">
        <v>16</v>
      </c>
      <c r="L1346">
        <v>62</v>
      </c>
      <c r="M1346">
        <v>0.75</v>
      </c>
      <c r="N1346">
        <v>17</v>
      </c>
      <c r="O1346">
        <v>0.61</v>
      </c>
      <c r="P1346" t="s">
        <v>19</v>
      </c>
    </row>
    <row r="1347" spans="1:16" x14ac:dyDescent="0.35">
      <c r="A1347" t="s">
        <v>1373</v>
      </c>
      <c r="B1347">
        <v>1346</v>
      </c>
      <c r="C1347">
        <v>20</v>
      </c>
      <c r="D1347" t="s">
        <v>32</v>
      </c>
      <c r="E1347" t="s">
        <v>30</v>
      </c>
      <c r="F1347">
        <v>3.12</v>
      </c>
      <c r="G1347">
        <v>5</v>
      </c>
      <c r="H1347">
        <v>91.2</v>
      </c>
      <c r="I1347">
        <v>0.73</v>
      </c>
      <c r="J1347" t="s">
        <v>23</v>
      </c>
      <c r="K1347">
        <v>17</v>
      </c>
      <c r="L1347">
        <v>75</v>
      </c>
      <c r="M1347">
        <v>1</v>
      </c>
      <c r="N1347">
        <v>16</v>
      </c>
      <c r="O1347">
        <v>0.63</v>
      </c>
      <c r="P1347" t="s">
        <v>19</v>
      </c>
    </row>
    <row r="1348" spans="1:16" x14ac:dyDescent="0.35">
      <c r="A1348" t="s">
        <v>1374</v>
      </c>
      <c r="B1348">
        <v>1347</v>
      </c>
      <c r="C1348">
        <v>20</v>
      </c>
      <c r="D1348" t="s">
        <v>32</v>
      </c>
      <c r="E1348" t="s">
        <v>17</v>
      </c>
      <c r="F1348">
        <v>3.66</v>
      </c>
      <c r="G1348">
        <v>6</v>
      </c>
      <c r="H1348">
        <v>75.599999999999994</v>
      </c>
      <c r="I1348">
        <v>0.73</v>
      </c>
      <c r="J1348" t="s">
        <v>28</v>
      </c>
      <c r="K1348">
        <v>19</v>
      </c>
      <c r="L1348">
        <v>40</v>
      </c>
      <c r="M1348">
        <v>0.59</v>
      </c>
      <c r="N1348">
        <v>14</v>
      </c>
      <c r="O1348">
        <v>0.62</v>
      </c>
      <c r="P1348" t="s">
        <v>19</v>
      </c>
    </row>
    <row r="1349" spans="1:16" x14ac:dyDescent="0.35">
      <c r="A1349" t="s">
        <v>1375</v>
      </c>
      <c r="B1349">
        <v>1348</v>
      </c>
      <c r="C1349">
        <v>24</v>
      </c>
      <c r="D1349" t="s">
        <v>16</v>
      </c>
      <c r="E1349" t="s">
        <v>22</v>
      </c>
      <c r="F1349">
        <v>3.43</v>
      </c>
      <c r="G1349">
        <v>5</v>
      </c>
      <c r="H1349">
        <v>83.1</v>
      </c>
      <c r="I1349">
        <v>0.61</v>
      </c>
      <c r="J1349" t="s">
        <v>28</v>
      </c>
      <c r="K1349">
        <v>16</v>
      </c>
      <c r="L1349">
        <v>70</v>
      </c>
      <c r="M1349">
        <v>0.99</v>
      </c>
      <c r="N1349">
        <v>19</v>
      </c>
      <c r="O1349">
        <v>0.76</v>
      </c>
      <c r="P1349" t="s">
        <v>19</v>
      </c>
    </row>
    <row r="1350" spans="1:16" x14ac:dyDescent="0.35">
      <c r="A1350" t="s">
        <v>1376</v>
      </c>
      <c r="B1350">
        <v>1349</v>
      </c>
      <c r="C1350">
        <v>25</v>
      </c>
      <c r="D1350" t="s">
        <v>32</v>
      </c>
      <c r="E1350" t="s">
        <v>22</v>
      </c>
      <c r="F1350">
        <v>3.39</v>
      </c>
      <c r="G1350">
        <v>4</v>
      </c>
      <c r="H1350">
        <v>96.5</v>
      </c>
      <c r="I1350">
        <v>0.74</v>
      </c>
      <c r="J1350" t="s">
        <v>23</v>
      </c>
      <c r="K1350">
        <v>15</v>
      </c>
      <c r="L1350">
        <v>73</v>
      </c>
      <c r="M1350">
        <v>0.69</v>
      </c>
      <c r="N1350">
        <v>19</v>
      </c>
      <c r="O1350">
        <v>0.66</v>
      </c>
      <c r="P1350" t="s">
        <v>19</v>
      </c>
    </row>
    <row r="1351" spans="1:16" x14ac:dyDescent="0.35">
      <c r="A1351" t="s">
        <v>1377</v>
      </c>
      <c r="B1351">
        <v>1350</v>
      </c>
      <c r="C1351">
        <v>22</v>
      </c>
      <c r="D1351" t="s">
        <v>16</v>
      </c>
      <c r="E1351" t="s">
        <v>17</v>
      </c>
      <c r="F1351">
        <v>2.65</v>
      </c>
      <c r="G1351">
        <v>4</v>
      </c>
      <c r="H1351">
        <v>82.2</v>
      </c>
      <c r="I1351">
        <v>0.92</v>
      </c>
      <c r="J1351" t="s">
        <v>28</v>
      </c>
      <c r="K1351">
        <v>39</v>
      </c>
      <c r="L1351">
        <v>43</v>
      </c>
      <c r="M1351">
        <v>0.6</v>
      </c>
      <c r="N1351">
        <v>8</v>
      </c>
      <c r="O1351">
        <v>0.57999999999999996</v>
      </c>
      <c r="P1351" t="s">
        <v>24</v>
      </c>
    </row>
    <row r="1352" spans="1:16" x14ac:dyDescent="0.35">
      <c r="A1352" t="s">
        <v>1378</v>
      </c>
      <c r="B1352">
        <v>1351</v>
      </c>
      <c r="C1352">
        <v>21</v>
      </c>
      <c r="D1352" t="s">
        <v>32</v>
      </c>
      <c r="E1352" t="s">
        <v>17</v>
      </c>
      <c r="F1352">
        <v>2.4700000000000002</v>
      </c>
      <c r="G1352">
        <v>3</v>
      </c>
      <c r="H1352">
        <v>67</v>
      </c>
      <c r="I1352">
        <v>0.96</v>
      </c>
      <c r="J1352" t="s">
        <v>28</v>
      </c>
      <c r="K1352">
        <v>38</v>
      </c>
      <c r="L1352">
        <v>64</v>
      </c>
      <c r="M1352">
        <v>0.71</v>
      </c>
      <c r="N1352">
        <v>2</v>
      </c>
      <c r="O1352">
        <v>0.73</v>
      </c>
      <c r="P1352" t="s">
        <v>19</v>
      </c>
    </row>
    <row r="1353" spans="1:16" x14ac:dyDescent="0.35">
      <c r="A1353" t="s">
        <v>1379</v>
      </c>
      <c r="B1353">
        <v>1352</v>
      </c>
      <c r="C1353">
        <v>25</v>
      </c>
      <c r="D1353" t="s">
        <v>16</v>
      </c>
      <c r="E1353" t="s">
        <v>17</v>
      </c>
      <c r="F1353">
        <v>2.42</v>
      </c>
      <c r="G1353">
        <v>4</v>
      </c>
      <c r="H1353">
        <v>75.099999999999994</v>
      </c>
      <c r="I1353">
        <v>0.81</v>
      </c>
      <c r="J1353" t="s">
        <v>28</v>
      </c>
      <c r="K1353">
        <v>31</v>
      </c>
      <c r="L1353">
        <v>68</v>
      </c>
      <c r="M1353">
        <v>0.81</v>
      </c>
      <c r="N1353">
        <v>19</v>
      </c>
      <c r="O1353">
        <v>0.94</v>
      </c>
      <c r="P1353" t="s">
        <v>19</v>
      </c>
    </row>
    <row r="1354" spans="1:16" x14ac:dyDescent="0.35">
      <c r="A1354" t="s">
        <v>1380</v>
      </c>
      <c r="B1354">
        <v>1353</v>
      </c>
      <c r="C1354">
        <v>24</v>
      </c>
      <c r="D1354" t="s">
        <v>16</v>
      </c>
      <c r="E1354" t="s">
        <v>22</v>
      </c>
      <c r="F1354">
        <v>3.71</v>
      </c>
      <c r="G1354">
        <v>5</v>
      </c>
      <c r="H1354">
        <v>93.7</v>
      </c>
      <c r="I1354">
        <v>0.78</v>
      </c>
      <c r="J1354" t="s">
        <v>23</v>
      </c>
      <c r="K1354">
        <v>8</v>
      </c>
      <c r="L1354">
        <v>12</v>
      </c>
      <c r="M1354">
        <v>0.61</v>
      </c>
      <c r="N1354">
        <v>18</v>
      </c>
      <c r="O1354">
        <v>0.79</v>
      </c>
      <c r="P1354" t="s">
        <v>24</v>
      </c>
    </row>
    <row r="1355" spans="1:16" x14ac:dyDescent="0.35">
      <c r="A1355" t="s">
        <v>1381</v>
      </c>
      <c r="B1355">
        <v>1354</v>
      </c>
      <c r="C1355">
        <v>23</v>
      </c>
      <c r="D1355" t="s">
        <v>32</v>
      </c>
      <c r="E1355" t="s">
        <v>46</v>
      </c>
      <c r="F1355">
        <v>3.64</v>
      </c>
      <c r="G1355">
        <v>6</v>
      </c>
      <c r="H1355">
        <v>85.8</v>
      </c>
      <c r="I1355">
        <v>0.61</v>
      </c>
      <c r="J1355" t="s">
        <v>18</v>
      </c>
      <c r="K1355">
        <v>26</v>
      </c>
      <c r="L1355">
        <v>26</v>
      </c>
      <c r="M1355">
        <v>0.65</v>
      </c>
      <c r="N1355">
        <v>17</v>
      </c>
      <c r="O1355">
        <v>0.94</v>
      </c>
      <c r="P1355" t="s">
        <v>19</v>
      </c>
    </row>
    <row r="1356" spans="1:16" x14ac:dyDescent="0.35">
      <c r="A1356" t="s">
        <v>1382</v>
      </c>
      <c r="B1356">
        <v>1355</v>
      </c>
      <c r="C1356">
        <v>19</v>
      </c>
      <c r="D1356" t="s">
        <v>21</v>
      </c>
      <c r="E1356" t="s">
        <v>30</v>
      </c>
      <c r="F1356">
        <v>2.88</v>
      </c>
      <c r="G1356">
        <v>4</v>
      </c>
      <c r="H1356">
        <v>86</v>
      </c>
      <c r="I1356">
        <v>0.95</v>
      </c>
      <c r="J1356" t="s">
        <v>23</v>
      </c>
      <c r="K1356">
        <v>32</v>
      </c>
      <c r="L1356">
        <v>87</v>
      </c>
      <c r="M1356">
        <v>0.93</v>
      </c>
      <c r="N1356">
        <v>19</v>
      </c>
      <c r="O1356">
        <v>0.6</v>
      </c>
      <c r="P1356" t="s">
        <v>24</v>
      </c>
    </row>
    <row r="1357" spans="1:16" x14ac:dyDescent="0.35">
      <c r="A1357" t="s">
        <v>1383</v>
      </c>
      <c r="B1357">
        <v>1356</v>
      </c>
      <c r="C1357">
        <v>21</v>
      </c>
      <c r="D1357" t="s">
        <v>32</v>
      </c>
      <c r="E1357" t="s">
        <v>30</v>
      </c>
      <c r="F1357">
        <v>2.2599999999999998</v>
      </c>
      <c r="G1357">
        <v>3</v>
      </c>
      <c r="H1357">
        <v>94.7</v>
      </c>
      <c r="I1357">
        <v>0.61</v>
      </c>
      <c r="J1357" t="s">
        <v>23</v>
      </c>
      <c r="K1357">
        <v>9</v>
      </c>
      <c r="L1357">
        <v>87</v>
      </c>
      <c r="M1357">
        <v>1</v>
      </c>
      <c r="N1357">
        <v>7</v>
      </c>
      <c r="O1357">
        <v>0.57999999999999996</v>
      </c>
      <c r="P1357" t="s">
        <v>19</v>
      </c>
    </row>
    <row r="1358" spans="1:16" x14ac:dyDescent="0.35">
      <c r="A1358" t="s">
        <v>1384</v>
      </c>
      <c r="B1358">
        <v>1357</v>
      </c>
      <c r="C1358">
        <v>21</v>
      </c>
      <c r="D1358" t="s">
        <v>16</v>
      </c>
      <c r="E1358" t="s">
        <v>22</v>
      </c>
      <c r="F1358">
        <v>2.76</v>
      </c>
      <c r="G1358">
        <v>5</v>
      </c>
      <c r="H1358">
        <v>95.8</v>
      </c>
      <c r="I1358">
        <v>0.98</v>
      </c>
      <c r="J1358" t="s">
        <v>23</v>
      </c>
      <c r="K1358">
        <v>16</v>
      </c>
      <c r="L1358">
        <v>55</v>
      </c>
      <c r="M1358">
        <v>0.66</v>
      </c>
      <c r="N1358">
        <v>0</v>
      </c>
      <c r="O1358">
        <v>0.79</v>
      </c>
      <c r="P1358" t="s">
        <v>24</v>
      </c>
    </row>
    <row r="1359" spans="1:16" x14ac:dyDescent="0.35">
      <c r="A1359" t="s">
        <v>1385</v>
      </c>
      <c r="B1359">
        <v>1358</v>
      </c>
      <c r="C1359">
        <v>20</v>
      </c>
      <c r="D1359" t="s">
        <v>21</v>
      </c>
      <c r="E1359" t="s">
        <v>30</v>
      </c>
      <c r="F1359">
        <v>3.24</v>
      </c>
      <c r="G1359">
        <v>3</v>
      </c>
      <c r="H1359">
        <v>96.8</v>
      </c>
      <c r="I1359">
        <v>0.8</v>
      </c>
      <c r="J1359" t="s">
        <v>28</v>
      </c>
      <c r="K1359">
        <v>35</v>
      </c>
      <c r="L1359">
        <v>47</v>
      </c>
      <c r="M1359">
        <v>0.56999999999999995</v>
      </c>
      <c r="N1359">
        <v>14</v>
      </c>
      <c r="O1359">
        <v>0.73</v>
      </c>
      <c r="P1359" t="s">
        <v>24</v>
      </c>
    </row>
    <row r="1360" spans="1:16" x14ac:dyDescent="0.35">
      <c r="A1360" t="s">
        <v>1386</v>
      </c>
      <c r="B1360">
        <v>1359</v>
      </c>
      <c r="C1360">
        <v>21</v>
      </c>
      <c r="D1360" t="s">
        <v>32</v>
      </c>
      <c r="E1360" t="s">
        <v>17</v>
      </c>
      <c r="F1360">
        <v>2.91</v>
      </c>
      <c r="G1360">
        <v>4</v>
      </c>
      <c r="H1360">
        <v>63.8</v>
      </c>
      <c r="I1360">
        <v>0.74</v>
      </c>
      <c r="J1360" t="s">
        <v>18</v>
      </c>
      <c r="K1360">
        <v>16</v>
      </c>
      <c r="L1360">
        <v>44</v>
      </c>
      <c r="M1360">
        <v>0.9</v>
      </c>
      <c r="N1360">
        <v>18</v>
      </c>
      <c r="O1360">
        <v>0.83</v>
      </c>
      <c r="P1360" t="s">
        <v>19</v>
      </c>
    </row>
    <row r="1361" spans="1:16" x14ac:dyDescent="0.35">
      <c r="A1361" t="s">
        <v>1387</v>
      </c>
      <c r="B1361">
        <v>1360</v>
      </c>
      <c r="C1361">
        <v>24</v>
      </c>
      <c r="D1361" t="s">
        <v>32</v>
      </c>
      <c r="E1361" t="s">
        <v>46</v>
      </c>
      <c r="F1361">
        <v>3.56</v>
      </c>
      <c r="G1361">
        <v>4</v>
      </c>
      <c r="H1361">
        <v>81.8</v>
      </c>
      <c r="I1361">
        <v>0.97</v>
      </c>
      <c r="J1361" t="s">
        <v>23</v>
      </c>
      <c r="K1361">
        <v>17</v>
      </c>
      <c r="L1361">
        <v>10</v>
      </c>
      <c r="M1361">
        <v>0.8</v>
      </c>
      <c r="N1361">
        <v>9</v>
      </c>
      <c r="O1361">
        <v>0.9</v>
      </c>
      <c r="P1361" t="s">
        <v>41</v>
      </c>
    </row>
    <row r="1362" spans="1:16" x14ac:dyDescent="0.35">
      <c r="A1362" t="s">
        <v>1388</v>
      </c>
      <c r="B1362">
        <v>1361</v>
      </c>
      <c r="C1362">
        <v>23</v>
      </c>
      <c r="D1362" t="s">
        <v>32</v>
      </c>
      <c r="E1362" t="s">
        <v>30</v>
      </c>
      <c r="F1362">
        <v>4</v>
      </c>
      <c r="G1362">
        <v>3</v>
      </c>
      <c r="H1362">
        <v>89.6</v>
      </c>
      <c r="I1362">
        <v>0.61</v>
      </c>
      <c r="J1362" t="s">
        <v>23</v>
      </c>
      <c r="K1362">
        <v>22</v>
      </c>
      <c r="L1362">
        <v>38</v>
      </c>
      <c r="M1362">
        <v>0.55000000000000004</v>
      </c>
      <c r="N1362">
        <v>11</v>
      </c>
      <c r="O1362">
        <v>0.88</v>
      </c>
      <c r="P1362" t="s">
        <v>19</v>
      </c>
    </row>
    <row r="1363" spans="1:16" x14ac:dyDescent="0.35">
      <c r="A1363" t="s">
        <v>1389</v>
      </c>
      <c r="B1363">
        <v>1362</v>
      </c>
      <c r="C1363">
        <v>23</v>
      </c>
      <c r="D1363" t="s">
        <v>21</v>
      </c>
      <c r="E1363" t="s">
        <v>46</v>
      </c>
      <c r="F1363">
        <v>2.38</v>
      </c>
      <c r="G1363">
        <v>5</v>
      </c>
      <c r="H1363">
        <v>90.3</v>
      </c>
      <c r="I1363">
        <v>0.83</v>
      </c>
      <c r="J1363" t="s">
        <v>18</v>
      </c>
      <c r="K1363">
        <v>33</v>
      </c>
      <c r="L1363">
        <v>13</v>
      </c>
      <c r="M1363">
        <v>0.97</v>
      </c>
      <c r="N1363">
        <v>5</v>
      </c>
      <c r="O1363">
        <v>0.97</v>
      </c>
      <c r="P1363" t="s">
        <v>19</v>
      </c>
    </row>
    <row r="1364" spans="1:16" x14ac:dyDescent="0.35">
      <c r="A1364" t="s">
        <v>1390</v>
      </c>
      <c r="B1364">
        <v>1363</v>
      </c>
      <c r="C1364">
        <v>18</v>
      </c>
      <c r="D1364" t="s">
        <v>16</v>
      </c>
      <c r="E1364" t="s">
        <v>17</v>
      </c>
      <c r="F1364">
        <v>2.92</v>
      </c>
      <c r="G1364">
        <v>4</v>
      </c>
      <c r="H1364">
        <v>84.3</v>
      </c>
      <c r="I1364">
        <v>0.82</v>
      </c>
      <c r="J1364" t="s">
        <v>18</v>
      </c>
      <c r="K1364">
        <v>7</v>
      </c>
      <c r="L1364">
        <v>70</v>
      </c>
      <c r="M1364">
        <v>0.54</v>
      </c>
      <c r="N1364">
        <v>12</v>
      </c>
      <c r="O1364">
        <v>0.7</v>
      </c>
      <c r="P1364" t="s">
        <v>24</v>
      </c>
    </row>
    <row r="1365" spans="1:16" x14ac:dyDescent="0.35">
      <c r="A1365" t="s">
        <v>1391</v>
      </c>
      <c r="B1365">
        <v>1364</v>
      </c>
      <c r="C1365">
        <v>23</v>
      </c>
      <c r="D1365" t="s">
        <v>32</v>
      </c>
      <c r="E1365" t="s">
        <v>30</v>
      </c>
      <c r="F1365">
        <v>2.86</v>
      </c>
      <c r="G1365">
        <v>6</v>
      </c>
      <c r="H1365">
        <v>66.7</v>
      </c>
      <c r="I1365">
        <v>0.69</v>
      </c>
      <c r="J1365" t="s">
        <v>18</v>
      </c>
      <c r="K1365">
        <v>12</v>
      </c>
      <c r="L1365">
        <v>26</v>
      </c>
      <c r="M1365">
        <v>0.81</v>
      </c>
      <c r="N1365">
        <v>3</v>
      </c>
      <c r="O1365">
        <v>0.6</v>
      </c>
      <c r="P1365" t="s">
        <v>19</v>
      </c>
    </row>
    <row r="1366" spans="1:16" x14ac:dyDescent="0.35">
      <c r="A1366" t="s">
        <v>1392</v>
      </c>
      <c r="B1366">
        <v>1365</v>
      </c>
      <c r="C1366">
        <v>25</v>
      </c>
      <c r="D1366" t="s">
        <v>32</v>
      </c>
      <c r="E1366" t="s">
        <v>22</v>
      </c>
      <c r="F1366">
        <v>2.61</v>
      </c>
      <c r="G1366">
        <v>4</v>
      </c>
      <c r="H1366">
        <v>91.9</v>
      </c>
      <c r="I1366">
        <v>0.77</v>
      </c>
      <c r="J1366" t="s">
        <v>28</v>
      </c>
      <c r="K1366">
        <v>22</v>
      </c>
      <c r="L1366">
        <v>37</v>
      </c>
      <c r="M1366">
        <v>0.71</v>
      </c>
      <c r="N1366">
        <v>12</v>
      </c>
      <c r="O1366">
        <v>0.78</v>
      </c>
      <c r="P1366" t="s">
        <v>24</v>
      </c>
    </row>
    <row r="1367" spans="1:16" x14ac:dyDescent="0.35">
      <c r="A1367" t="s">
        <v>1393</v>
      </c>
      <c r="B1367">
        <v>1366</v>
      </c>
      <c r="C1367">
        <v>23</v>
      </c>
      <c r="D1367" t="s">
        <v>32</v>
      </c>
      <c r="E1367" t="s">
        <v>46</v>
      </c>
      <c r="F1367">
        <v>2.4</v>
      </c>
      <c r="G1367">
        <v>5</v>
      </c>
      <c r="H1367">
        <v>88.8</v>
      </c>
      <c r="I1367">
        <v>0.86</v>
      </c>
      <c r="J1367" t="s">
        <v>18</v>
      </c>
      <c r="K1367">
        <v>19</v>
      </c>
      <c r="L1367">
        <v>59</v>
      </c>
      <c r="M1367">
        <v>0.78</v>
      </c>
      <c r="N1367">
        <v>16</v>
      </c>
      <c r="O1367">
        <v>0.56000000000000005</v>
      </c>
      <c r="P1367" t="s">
        <v>19</v>
      </c>
    </row>
    <row r="1368" spans="1:16" x14ac:dyDescent="0.35">
      <c r="A1368" t="s">
        <v>1394</v>
      </c>
      <c r="B1368">
        <v>1367</v>
      </c>
      <c r="C1368">
        <v>20</v>
      </c>
      <c r="D1368" t="s">
        <v>32</v>
      </c>
      <c r="E1368" t="s">
        <v>17</v>
      </c>
      <c r="F1368">
        <v>2.13</v>
      </c>
      <c r="G1368">
        <v>4</v>
      </c>
      <c r="H1368">
        <v>63.4</v>
      </c>
      <c r="I1368">
        <v>0.89</v>
      </c>
      <c r="J1368" t="s">
        <v>28</v>
      </c>
      <c r="K1368">
        <v>21</v>
      </c>
      <c r="L1368">
        <v>17</v>
      </c>
      <c r="M1368">
        <v>0.61</v>
      </c>
      <c r="N1368">
        <v>0</v>
      </c>
      <c r="O1368">
        <v>0.64</v>
      </c>
      <c r="P1368" t="s">
        <v>19</v>
      </c>
    </row>
    <row r="1369" spans="1:16" x14ac:dyDescent="0.35">
      <c r="A1369" t="s">
        <v>1395</v>
      </c>
      <c r="B1369">
        <v>1368</v>
      </c>
      <c r="C1369">
        <v>23</v>
      </c>
      <c r="D1369" t="s">
        <v>32</v>
      </c>
      <c r="E1369" t="s">
        <v>46</v>
      </c>
      <c r="F1369">
        <v>3.77</v>
      </c>
      <c r="G1369">
        <v>3</v>
      </c>
      <c r="H1369">
        <v>78.599999999999994</v>
      </c>
      <c r="I1369">
        <v>0.6</v>
      </c>
      <c r="J1369" t="s">
        <v>23</v>
      </c>
      <c r="K1369">
        <v>22</v>
      </c>
      <c r="L1369">
        <v>43</v>
      </c>
      <c r="M1369">
        <v>0.84</v>
      </c>
      <c r="N1369">
        <v>4</v>
      </c>
      <c r="O1369">
        <v>0.6</v>
      </c>
      <c r="P1369" t="s">
        <v>19</v>
      </c>
    </row>
    <row r="1370" spans="1:16" x14ac:dyDescent="0.35">
      <c r="A1370" t="s">
        <v>1396</v>
      </c>
      <c r="B1370">
        <v>1369</v>
      </c>
      <c r="C1370">
        <v>18</v>
      </c>
      <c r="D1370" t="s">
        <v>16</v>
      </c>
      <c r="E1370" t="s">
        <v>30</v>
      </c>
      <c r="F1370">
        <v>2.84</v>
      </c>
      <c r="G1370">
        <v>4</v>
      </c>
      <c r="H1370">
        <v>67</v>
      </c>
      <c r="I1370">
        <v>0.97</v>
      </c>
      <c r="J1370" t="s">
        <v>28</v>
      </c>
      <c r="K1370">
        <v>34</v>
      </c>
      <c r="L1370">
        <v>68</v>
      </c>
      <c r="M1370">
        <v>0.98</v>
      </c>
      <c r="N1370">
        <v>16</v>
      </c>
      <c r="O1370">
        <v>0.7</v>
      </c>
      <c r="P1370" t="s">
        <v>24</v>
      </c>
    </row>
    <row r="1371" spans="1:16" x14ac:dyDescent="0.35">
      <c r="A1371" t="s">
        <v>1397</v>
      </c>
      <c r="B1371">
        <v>1370</v>
      </c>
      <c r="C1371">
        <v>19</v>
      </c>
      <c r="D1371" t="s">
        <v>16</v>
      </c>
      <c r="E1371" t="s">
        <v>30</v>
      </c>
      <c r="F1371">
        <v>2.99</v>
      </c>
      <c r="G1371">
        <v>4</v>
      </c>
      <c r="H1371">
        <v>73.5</v>
      </c>
      <c r="I1371">
        <v>0.67</v>
      </c>
      <c r="J1371" t="s">
        <v>18</v>
      </c>
      <c r="K1371">
        <v>2</v>
      </c>
      <c r="L1371">
        <v>27</v>
      </c>
      <c r="M1371">
        <v>0.73</v>
      </c>
      <c r="N1371">
        <v>17</v>
      </c>
      <c r="O1371">
        <v>0.56000000000000005</v>
      </c>
      <c r="P1371" t="s">
        <v>19</v>
      </c>
    </row>
    <row r="1372" spans="1:16" x14ac:dyDescent="0.35">
      <c r="A1372" t="s">
        <v>1398</v>
      </c>
      <c r="B1372">
        <v>1371</v>
      </c>
      <c r="C1372">
        <v>24</v>
      </c>
      <c r="D1372" t="s">
        <v>32</v>
      </c>
      <c r="E1372" t="s">
        <v>22</v>
      </c>
      <c r="F1372">
        <v>3.83</v>
      </c>
      <c r="G1372">
        <v>5</v>
      </c>
      <c r="H1372">
        <v>60.7</v>
      </c>
      <c r="I1372">
        <v>0.69</v>
      </c>
      <c r="J1372" t="s">
        <v>28</v>
      </c>
      <c r="K1372">
        <v>33</v>
      </c>
      <c r="L1372">
        <v>68</v>
      </c>
      <c r="M1372">
        <v>0.76</v>
      </c>
      <c r="N1372">
        <v>6</v>
      </c>
      <c r="O1372">
        <v>0.52</v>
      </c>
      <c r="P1372" t="s">
        <v>19</v>
      </c>
    </row>
    <row r="1373" spans="1:16" x14ac:dyDescent="0.35">
      <c r="A1373" t="s">
        <v>1399</v>
      </c>
      <c r="B1373">
        <v>1372</v>
      </c>
      <c r="C1373">
        <v>20</v>
      </c>
      <c r="D1373" t="s">
        <v>21</v>
      </c>
      <c r="E1373" t="s">
        <v>17</v>
      </c>
      <c r="F1373">
        <v>3.55</v>
      </c>
      <c r="G1373">
        <v>3</v>
      </c>
      <c r="H1373">
        <v>76</v>
      </c>
      <c r="I1373">
        <v>0.71</v>
      </c>
      <c r="J1373" t="s">
        <v>18</v>
      </c>
      <c r="K1373">
        <v>32</v>
      </c>
      <c r="L1373">
        <v>36</v>
      </c>
      <c r="M1373">
        <v>0.62</v>
      </c>
      <c r="N1373">
        <v>15</v>
      </c>
      <c r="O1373">
        <v>0.83</v>
      </c>
      <c r="P1373" t="s">
        <v>19</v>
      </c>
    </row>
    <row r="1374" spans="1:16" x14ac:dyDescent="0.35">
      <c r="A1374" t="s">
        <v>1400</v>
      </c>
      <c r="B1374">
        <v>1373</v>
      </c>
      <c r="C1374">
        <v>25</v>
      </c>
      <c r="D1374" t="s">
        <v>16</v>
      </c>
      <c r="E1374" t="s">
        <v>17</v>
      </c>
      <c r="F1374">
        <v>2.2599999999999998</v>
      </c>
      <c r="G1374">
        <v>5</v>
      </c>
      <c r="H1374">
        <v>82</v>
      </c>
      <c r="I1374">
        <v>0.62</v>
      </c>
      <c r="J1374" t="s">
        <v>28</v>
      </c>
      <c r="K1374">
        <v>16</v>
      </c>
      <c r="L1374">
        <v>25</v>
      </c>
      <c r="M1374">
        <v>0.95</v>
      </c>
      <c r="N1374">
        <v>7</v>
      </c>
      <c r="O1374">
        <v>0.81</v>
      </c>
      <c r="P1374" t="s">
        <v>19</v>
      </c>
    </row>
    <row r="1375" spans="1:16" x14ac:dyDescent="0.35">
      <c r="A1375" t="s">
        <v>1401</v>
      </c>
      <c r="B1375">
        <v>1374</v>
      </c>
      <c r="C1375">
        <v>19</v>
      </c>
      <c r="D1375" t="s">
        <v>21</v>
      </c>
      <c r="E1375" t="s">
        <v>22</v>
      </c>
      <c r="F1375">
        <v>3.13</v>
      </c>
      <c r="G1375">
        <v>4</v>
      </c>
      <c r="H1375">
        <v>84.8</v>
      </c>
      <c r="I1375">
        <v>0.65</v>
      </c>
      <c r="J1375" t="s">
        <v>23</v>
      </c>
      <c r="K1375">
        <v>18</v>
      </c>
      <c r="L1375">
        <v>19</v>
      </c>
      <c r="M1375">
        <v>0.99</v>
      </c>
      <c r="N1375">
        <v>11</v>
      </c>
      <c r="O1375">
        <v>0.85</v>
      </c>
      <c r="P1375" t="s">
        <v>19</v>
      </c>
    </row>
    <row r="1376" spans="1:16" x14ac:dyDescent="0.35">
      <c r="A1376" t="s">
        <v>1402</v>
      </c>
      <c r="B1376">
        <v>1375</v>
      </c>
      <c r="C1376">
        <v>20</v>
      </c>
      <c r="D1376" t="s">
        <v>16</v>
      </c>
      <c r="E1376" t="s">
        <v>22</v>
      </c>
      <c r="F1376">
        <v>2.88</v>
      </c>
      <c r="G1376">
        <v>6</v>
      </c>
      <c r="H1376">
        <v>86.5</v>
      </c>
      <c r="I1376">
        <v>0.99</v>
      </c>
      <c r="J1376" t="s">
        <v>28</v>
      </c>
      <c r="K1376">
        <v>29</v>
      </c>
      <c r="L1376">
        <v>85</v>
      </c>
      <c r="M1376">
        <v>0.89</v>
      </c>
      <c r="N1376">
        <v>13</v>
      </c>
      <c r="O1376">
        <v>0.83</v>
      </c>
      <c r="P1376" t="s">
        <v>24</v>
      </c>
    </row>
    <row r="1377" spans="1:16" x14ac:dyDescent="0.35">
      <c r="A1377" t="s">
        <v>1403</v>
      </c>
      <c r="B1377">
        <v>1376</v>
      </c>
      <c r="C1377">
        <v>22</v>
      </c>
      <c r="D1377" t="s">
        <v>32</v>
      </c>
      <c r="E1377" t="s">
        <v>17</v>
      </c>
      <c r="F1377">
        <v>3.59</v>
      </c>
      <c r="G1377">
        <v>4</v>
      </c>
      <c r="H1377">
        <v>93.5</v>
      </c>
      <c r="I1377">
        <v>0.73</v>
      </c>
      <c r="J1377" t="s">
        <v>23</v>
      </c>
      <c r="K1377">
        <v>22</v>
      </c>
      <c r="L1377">
        <v>31</v>
      </c>
      <c r="M1377">
        <v>0.77</v>
      </c>
      <c r="N1377">
        <v>18</v>
      </c>
      <c r="O1377">
        <v>0.56000000000000005</v>
      </c>
      <c r="P1377" t="s">
        <v>19</v>
      </c>
    </row>
    <row r="1378" spans="1:16" x14ac:dyDescent="0.35">
      <c r="A1378" t="s">
        <v>1404</v>
      </c>
      <c r="B1378">
        <v>1377</v>
      </c>
      <c r="C1378">
        <v>21</v>
      </c>
      <c r="D1378" t="s">
        <v>16</v>
      </c>
      <c r="E1378" t="s">
        <v>46</v>
      </c>
      <c r="F1378">
        <v>3.45</v>
      </c>
      <c r="G1378">
        <v>5</v>
      </c>
      <c r="H1378">
        <v>68.599999999999994</v>
      </c>
      <c r="I1378">
        <v>0.65</v>
      </c>
      <c r="J1378" t="s">
        <v>18</v>
      </c>
      <c r="K1378">
        <v>14</v>
      </c>
      <c r="L1378">
        <v>25</v>
      </c>
      <c r="M1378">
        <v>0.98</v>
      </c>
      <c r="N1378">
        <v>10</v>
      </c>
      <c r="O1378">
        <v>0.65</v>
      </c>
      <c r="P1378" t="s">
        <v>19</v>
      </c>
    </row>
    <row r="1379" spans="1:16" x14ac:dyDescent="0.35">
      <c r="A1379" t="s">
        <v>1405</v>
      </c>
      <c r="B1379">
        <v>1378</v>
      </c>
      <c r="C1379">
        <v>22</v>
      </c>
      <c r="D1379" t="s">
        <v>32</v>
      </c>
      <c r="E1379" t="s">
        <v>46</v>
      </c>
      <c r="F1379">
        <v>3.38</v>
      </c>
      <c r="G1379">
        <v>6</v>
      </c>
      <c r="H1379">
        <v>64.8</v>
      </c>
      <c r="I1379">
        <v>0.64</v>
      </c>
      <c r="J1379" t="s">
        <v>23</v>
      </c>
      <c r="K1379">
        <v>13</v>
      </c>
      <c r="L1379">
        <v>21</v>
      </c>
      <c r="M1379">
        <v>0.57999999999999996</v>
      </c>
      <c r="N1379">
        <v>11</v>
      </c>
      <c r="O1379">
        <v>0.56000000000000005</v>
      </c>
      <c r="P1379" t="s">
        <v>19</v>
      </c>
    </row>
    <row r="1380" spans="1:16" x14ac:dyDescent="0.35">
      <c r="A1380" t="s">
        <v>1406</v>
      </c>
      <c r="B1380">
        <v>1379</v>
      </c>
      <c r="C1380">
        <v>23</v>
      </c>
      <c r="D1380" t="s">
        <v>16</v>
      </c>
      <c r="E1380" t="s">
        <v>22</v>
      </c>
      <c r="F1380">
        <v>2.68</v>
      </c>
      <c r="G1380">
        <v>5</v>
      </c>
      <c r="H1380">
        <v>94.1</v>
      </c>
      <c r="I1380">
        <v>0.89</v>
      </c>
      <c r="J1380" t="s">
        <v>18</v>
      </c>
      <c r="K1380">
        <v>1</v>
      </c>
      <c r="L1380">
        <v>84</v>
      </c>
      <c r="M1380">
        <v>0.74</v>
      </c>
      <c r="N1380">
        <v>12</v>
      </c>
      <c r="O1380">
        <v>0.92</v>
      </c>
      <c r="P1380" t="s">
        <v>24</v>
      </c>
    </row>
    <row r="1381" spans="1:16" x14ac:dyDescent="0.35">
      <c r="A1381" t="s">
        <v>1407</v>
      </c>
      <c r="B1381">
        <v>1380</v>
      </c>
      <c r="C1381">
        <v>19</v>
      </c>
      <c r="D1381" t="s">
        <v>32</v>
      </c>
      <c r="E1381" t="s">
        <v>46</v>
      </c>
      <c r="F1381">
        <v>3.61</v>
      </c>
      <c r="G1381">
        <v>5</v>
      </c>
      <c r="H1381">
        <v>66.3</v>
      </c>
      <c r="I1381">
        <v>0.94</v>
      </c>
      <c r="J1381" t="s">
        <v>18</v>
      </c>
      <c r="K1381">
        <v>38</v>
      </c>
      <c r="L1381">
        <v>60</v>
      </c>
      <c r="M1381">
        <v>0.77</v>
      </c>
      <c r="N1381">
        <v>7</v>
      </c>
      <c r="O1381">
        <v>0.87</v>
      </c>
      <c r="P1381" t="s">
        <v>41</v>
      </c>
    </row>
    <row r="1382" spans="1:16" x14ac:dyDescent="0.35">
      <c r="A1382" t="s">
        <v>1408</v>
      </c>
      <c r="B1382">
        <v>1381</v>
      </c>
      <c r="C1382">
        <v>23</v>
      </c>
      <c r="D1382" t="s">
        <v>32</v>
      </c>
      <c r="E1382" t="s">
        <v>17</v>
      </c>
      <c r="F1382">
        <v>2.1</v>
      </c>
      <c r="G1382">
        <v>3</v>
      </c>
      <c r="H1382">
        <v>99</v>
      </c>
      <c r="I1382">
        <v>0.7</v>
      </c>
      <c r="J1382" t="s">
        <v>23</v>
      </c>
      <c r="K1382">
        <v>17</v>
      </c>
      <c r="L1382">
        <v>10</v>
      </c>
      <c r="M1382">
        <v>0.75</v>
      </c>
      <c r="N1382">
        <v>0</v>
      </c>
      <c r="O1382">
        <v>0.6</v>
      </c>
      <c r="P1382" t="s">
        <v>19</v>
      </c>
    </row>
    <row r="1383" spans="1:16" x14ac:dyDescent="0.35">
      <c r="A1383" t="s">
        <v>1409</v>
      </c>
      <c r="B1383">
        <v>1382</v>
      </c>
      <c r="C1383">
        <v>21</v>
      </c>
      <c r="D1383" t="s">
        <v>32</v>
      </c>
      <c r="E1383" t="s">
        <v>30</v>
      </c>
      <c r="F1383">
        <v>2.3199999999999998</v>
      </c>
      <c r="G1383">
        <v>6</v>
      </c>
      <c r="H1383">
        <v>93.7</v>
      </c>
      <c r="I1383">
        <v>0.61</v>
      </c>
      <c r="J1383" t="s">
        <v>23</v>
      </c>
      <c r="K1383">
        <v>5</v>
      </c>
      <c r="L1383">
        <v>36</v>
      </c>
      <c r="M1383">
        <v>0.9</v>
      </c>
      <c r="N1383">
        <v>8</v>
      </c>
      <c r="O1383">
        <v>0.67</v>
      </c>
      <c r="P1383" t="s">
        <v>19</v>
      </c>
    </row>
    <row r="1384" spans="1:16" x14ac:dyDescent="0.35">
      <c r="A1384" t="s">
        <v>1410</v>
      </c>
      <c r="B1384">
        <v>1383</v>
      </c>
      <c r="C1384">
        <v>20</v>
      </c>
      <c r="D1384" t="s">
        <v>32</v>
      </c>
      <c r="E1384" t="s">
        <v>30</v>
      </c>
      <c r="F1384">
        <v>2.67</v>
      </c>
      <c r="G1384">
        <v>4</v>
      </c>
      <c r="H1384">
        <v>80</v>
      </c>
      <c r="I1384">
        <v>0.69</v>
      </c>
      <c r="J1384" t="s">
        <v>28</v>
      </c>
      <c r="K1384">
        <v>31</v>
      </c>
      <c r="L1384">
        <v>76</v>
      </c>
      <c r="M1384">
        <v>0.84</v>
      </c>
      <c r="N1384">
        <v>1</v>
      </c>
      <c r="O1384">
        <v>0.98</v>
      </c>
      <c r="P1384" t="s">
        <v>19</v>
      </c>
    </row>
    <row r="1385" spans="1:16" x14ac:dyDescent="0.35">
      <c r="A1385" t="s">
        <v>1411</v>
      </c>
      <c r="B1385">
        <v>1384</v>
      </c>
      <c r="C1385">
        <v>21</v>
      </c>
      <c r="D1385" t="s">
        <v>21</v>
      </c>
      <c r="E1385" t="s">
        <v>46</v>
      </c>
      <c r="F1385">
        <v>2.15</v>
      </c>
      <c r="G1385">
        <v>5</v>
      </c>
      <c r="H1385">
        <v>99.3</v>
      </c>
      <c r="I1385">
        <v>0.62</v>
      </c>
      <c r="J1385" t="s">
        <v>28</v>
      </c>
      <c r="K1385">
        <v>20</v>
      </c>
      <c r="L1385">
        <v>21</v>
      </c>
      <c r="M1385">
        <v>0.56000000000000005</v>
      </c>
      <c r="N1385">
        <v>13</v>
      </c>
      <c r="O1385">
        <v>0.8</v>
      </c>
      <c r="P1385" t="s">
        <v>19</v>
      </c>
    </row>
    <row r="1386" spans="1:16" x14ac:dyDescent="0.35">
      <c r="A1386" t="s">
        <v>1412</v>
      </c>
      <c r="B1386">
        <v>1385</v>
      </c>
      <c r="C1386">
        <v>18</v>
      </c>
      <c r="D1386" t="s">
        <v>32</v>
      </c>
      <c r="E1386" t="s">
        <v>22</v>
      </c>
      <c r="F1386">
        <v>2.4700000000000002</v>
      </c>
      <c r="G1386">
        <v>4</v>
      </c>
      <c r="H1386">
        <v>63.9</v>
      </c>
      <c r="I1386">
        <v>0.64</v>
      </c>
      <c r="J1386" t="s">
        <v>23</v>
      </c>
      <c r="K1386">
        <v>39</v>
      </c>
      <c r="L1386">
        <v>39</v>
      </c>
      <c r="M1386">
        <v>0.67</v>
      </c>
      <c r="N1386">
        <v>12</v>
      </c>
      <c r="O1386">
        <v>0.9</v>
      </c>
      <c r="P1386" t="s">
        <v>19</v>
      </c>
    </row>
    <row r="1387" spans="1:16" x14ac:dyDescent="0.35">
      <c r="A1387" t="s">
        <v>1413</v>
      </c>
      <c r="B1387">
        <v>1386</v>
      </c>
      <c r="C1387">
        <v>21</v>
      </c>
      <c r="D1387" t="s">
        <v>21</v>
      </c>
      <c r="E1387" t="s">
        <v>22</v>
      </c>
      <c r="F1387">
        <v>3.66</v>
      </c>
      <c r="G1387">
        <v>3</v>
      </c>
      <c r="H1387">
        <v>72.099999999999994</v>
      </c>
      <c r="I1387">
        <v>0.77</v>
      </c>
      <c r="J1387" t="s">
        <v>23</v>
      </c>
      <c r="K1387">
        <v>27</v>
      </c>
      <c r="L1387">
        <v>18</v>
      </c>
      <c r="M1387">
        <v>0.67</v>
      </c>
      <c r="N1387">
        <v>15</v>
      </c>
      <c r="O1387">
        <v>0.63</v>
      </c>
      <c r="P1387" t="s">
        <v>24</v>
      </c>
    </row>
    <row r="1388" spans="1:16" x14ac:dyDescent="0.35">
      <c r="A1388" t="s">
        <v>1414</v>
      </c>
      <c r="B1388">
        <v>1387</v>
      </c>
      <c r="C1388">
        <v>18</v>
      </c>
      <c r="D1388" t="s">
        <v>21</v>
      </c>
      <c r="E1388" t="s">
        <v>22</v>
      </c>
      <c r="F1388">
        <v>3.9</v>
      </c>
      <c r="G1388">
        <v>3</v>
      </c>
      <c r="H1388">
        <v>85.5</v>
      </c>
      <c r="I1388">
        <v>0.69</v>
      </c>
      <c r="J1388" t="s">
        <v>23</v>
      </c>
      <c r="K1388">
        <v>26</v>
      </c>
      <c r="L1388">
        <v>62</v>
      </c>
      <c r="M1388">
        <v>0.78</v>
      </c>
      <c r="N1388">
        <v>1</v>
      </c>
      <c r="O1388">
        <v>0.61</v>
      </c>
      <c r="P1388" t="s">
        <v>19</v>
      </c>
    </row>
    <row r="1389" spans="1:16" x14ac:dyDescent="0.35">
      <c r="A1389" t="s">
        <v>1415</v>
      </c>
      <c r="B1389">
        <v>1388</v>
      </c>
      <c r="C1389">
        <v>21</v>
      </c>
      <c r="D1389" t="s">
        <v>32</v>
      </c>
      <c r="E1389" t="s">
        <v>22</v>
      </c>
      <c r="F1389">
        <v>2.61</v>
      </c>
      <c r="G1389">
        <v>6</v>
      </c>
      <c r="H1389">
        <v>74</v>
      </c>
      <c r="I1389">
        <v>0.81</v>
      </c>
      <c r="J1389" t="s">
        <v>23</v>
      </c>
      <c r="K1389">
        <v>1</v>
      </c>
      <c r="L1389">
        <v>70</v>
      </c>
      <c r="M1389">
        <v>0.65</v>
      </c>
      <c r="N1389">
        <v>3</v>
      </c>
      <c r="O1389">
        <v>0.89</v>
      </c>
      <c r="P1389" t="s">
        <v>24</v>
      </c>
    </row>
    <row r="1390" spans="1:16" x14ac:dyDescent="0.35">
      <c r="A1390" t="s">
        <v>1416</v>
      </c>
      <c r="B1390">
        <v>1389</v>
      </c>
      <c r="C1390">
        <v>24</v>
      </c>
      <c r="D1390" t="s">
        <v>21</v>
      </c>
      <c r="E1390" t="s">
        <v>22</v>
      </c>
      <c r="F1390">
        <v>2.5299999999999998</v>
      </c>
      <c r="G1390">
        <v>3</v>
      </c>
      <c r="H1390">
        <v>97.1</v>
      </c>
      <c r="I1390">
        <v>0.7</v>
      </c>
      <c r="J1390" t="s">
        <v>18</v>
      </c>
      <c r="K1390">
        <v>32</v>
      </c>
      <c r="L1390">
        <v>63</v>
      </c>
      <c r="M1390">
        <v>0.56000000000000005</v>
      </c>
      <c r="N1390">
        <v>11</v>
      </c>
      <c r="O1390">
        <v>0.84</v>
      </c>
      <c r="P1390" t="s">
        <v>19</v>
      </c>
    </row>
    <row r="1391" spans="1:16" x14ac:dyDescent="0.35">
      <c r="A1391" t="s">
        <v>1417</v>
      </c>
      <c r="B1391">
        <v>1390</v>
      </c>
      <c r="C1391">
        <v>18</v>
      </c>
      <c r="D1391" t="s">
        <v>16</v>
      </c>
      <c r="E1391" t="s">
        <v>46</v>
      </c>
      <c r="F1391">
        <v>2.56</v>
      </c>
      <c r="G1391">
        <v>3</v>
      </c>
      <c r="H1391">
        <v>62.6</v>
      </c>
      <c r="I1391">
        <v>0.98</v>
      </c>
      <c r="J1391" t="s">
        <v>23</v>
      </c>
      <c r="K1391">
        <v>15</v>
      </c>
      <c r="L1391">
        <v>46</v>
      </c>
      <c r="M1391">
        <v>0.83</v>
      </c>
      <c r="N1391">
        <v>15</v>
      </c>
      <c r="O1391">
        <v>0.84</v>
      </c>
      <c r="P1391" t="s">
        <v>24</v>
      </c>
    </row>
    <row r="1392" spans="1:16" x14ac:dyDescent="0.35">
      <c r="A1392" t="s">
        <v>1418</v>
      </c>
      <c r="B1392">
        <v>1391</v>
      </c>
      <c r="C1392">
        <v>19</v>
      </c>
      <c r="D1392" t="s">
        <v>32</v>
      </c>
      <c r="E1392" t="s">
        <v>30</v>
      </c>
      <c r="F1392">
        <v>2.56</v>
      </c>
      <c r="G1392">
        <v>4</v>
      </c>
      <c r="H1392">
        <v>82</v>
      </c>
      <c r="I1392">
        <v>0.96</v>
      </c>
      <c r="J1392" t="s">
        <v>23</v>
      </c>
      <c r="K1392">
        <v>38</v>
      </c>
      <c r="L1392">
        <v>74</v>
      </c>
      <c r="M1392">
        <v>0.93</v>
      </c>
      <c r="N1392">
        <v>9</v>
      </c>
      <c r="O1392">
        <v>0.78</v>
      </c>
      <c r="P1392" t="s">
        <v>24</v>
      </c>
    </row>
    <row r="1393" spans="1:16" x14ac:dyDescent="0.35">
      <c r="A1393" t="s">
        <v>1419</v>
      </c>
      <c r="B1393">
        <v>1392</v>
      </c>
      <c r="C1393">
        <v>23</v>
      </c>
      <c r="D1393" t="s">
        <v>21</v>
      </c>
      <c r="E1393" t="s">
        <v>30</v>
      </c>
      <c r="F1393">
        <v>2.0699999999999998</v>
      </c>
      <c r="G1393">
        <v>3</v>
      </c>
      <c r="H1393">
        <v>83.6</v>
      </c>
      <c r="I1393">
        <v>0.83</v>
      </c>
      <c r="J1393" t="s">
        <v>23</v>
      </c>
      <c r="K1393">
        <v>21</v>
      </c>
      <c r="L1393">
        <v>51</v>
      </c>
      <c r="M1393">
        <v>0.97</v>
      </c>
      <c r="N1393">
        <v>2</v>
      </c>
      <c r="O1393">
        <v>0.78</v>
      </c>
      <c r="P1393" t="s">
        <v>19</v>
      </c>
    </row>
    <row r="1394" spans="1:16" x14ac:dyDescent="0.35">
      <c r="A1394" t="s">
        <v>1420</v>
      </c>
      <c r="B1394">
        <v>1393</v>
      </c>
      <c r="C1394">
        <v>25</v>
      </c>
      <c r="D1394" t="s">
        <v>32</v>
      </c>
      <c r="E1394" t="s">
        <v>46</v>
      </c>
      <c r="F1394">
        <v>3.85</v>
      </c>
      <c r="G1394">
        <v>3</v>
      </c>
      <c r="H1394">
        <v>86.1</v>
      </c>
      <c r="I1394">
        <v>0.74</v>
      </c>
      <c r="J1394" t="s">
        <v>23</v>
      </c>
      <c r="K1394">
        <v>12</v>
      </c>
      <c r="L1394">
        <v>58</v>
      </c>
      <c r="M1394">
        <v>0.99</v>
      </c>
      <c r="N1394">
        <v>3</v>
      </c>
      <c r="O1394">
        <v>0.87</v>
      </c>
      <c r="P1394" t="s">
        <v>19</v>
      </c>
    </row>
    <row r="1395" spans="1:16" x14ac:dyDescent="0.35">
      <c r="A1395" t="s">
        <v>1421</v>
      </c>
      <c r="B1395">
        <v>1394</v>
      </c>
      <c r="C1395">
        <v>23</v>
      </c>
      <c r="D1395" t="s">
        <v>32</v>
      </c>
      <c r="E1395" t="s">
        <v>22</v>
      </c>
      <c r="F1395">
        <v>2.4300000000000002</v>
      </c>
      <c r="G1395">
        <v>5</v>
      </c>
      <c r="H1395">
        <v>70.2</v>
      </c>
      <c r="I1395">
        <v>0.75</v>
      </c>
      <c r="J1395" t="s">
        <v>18</v>
      </c>
      <c r="K1395">
        <v>1</v>
      </c>
      <c r="L1395">
        <v>13</v>
      </c>
      <c r="M1395">
        <v>0.89</v>
      </c>
      <c r="N1395">
        <v>5</v>
      </c>
      <c r="O1395">
        <v>0.64</v>
      </c>
      <c r="P1395" t="s">
        <v>19</v>
      </c>
    </row>
    <row r="1396" spans="1:16" x14ac:dyDescent="0.35">
      <c r="A1396" t="s">
        <v>1422</v>
      </c>
      <c r="B1396">
        <v>1395</v>
      </c>
      <c r="C1396">
        <v>22</v>
      </c>
      <c r="D1396" t="s">
        <v>32</v>
      </c>
      <c r="E1396" t="s">
        <v>46</v>
      </c>
      <c r="F1396">
        <v>2.84</v>
      </c>
      <c r="G1396">
        <v>3</v>
      </c>
      <c r="H1396">
        <v>74.599999999999994</v>
      </c>
      <c r="I1396">
        <v>0.76</v>
      </c>
      <c r="J1396" t="s">
        <v>28</v>
      </c>
      <c r="K1396">
        <v>13</v>
      </c>
      <c r="L1396">
        <v>73</v>
      </c>
      <c r="M1396">
        <v>0.56999999999999995</v>
      </c>
      <c r="N1396">
        <v>4</v>
      </c>
      <c r="O1396">
        <v>0.68</v>
      </c>
      <c r="P1396" t="s">
        <v>24</v>
      </c>
    </row>
    <row r="1397" spans="1:16" x14ac:dyDescent="0.35">
      <c r="A1397" t="s">
        <v>1423</v>
      </c>
      <c r="B1397">
        <v>1396</v>
      </c>
      <c r="C1397">
        <v>23</v>
      </c>
      <c r="D1397" t="s">
        <v>21</v>
      </c>
      <c r="E1397" t="s">
        <v>30</v>
      </c>
      <c r="F1397">
        <v>2.02</v>
      </c>
      <c r="G1397">
        <v>5</v>
      </c>
      <c r="H1397">
        <v>93.7</v>
      </c>
      <c r="I1397">
        <v>0.89</v>
      </c>
      <c r="J1397" t="s">
        <v>28</v>
      </c>
      <c r="K1397">
        <v>37</v>
      </c>
      <c r="L1397">
        <v>88</v>
      </c>
      <c r="M1397">
        <v>0.93</v>
      </c>
      <c r="N1397">
        <v>17</v>
      </c>
      <c r="O1397">
        <v>0.94</v>
      </c>
      <c r="P1397" t="s">
        <v>19</v>
      </c>
    </row>
    <row r="1398" spans="1:16" x14ac:dyDescent="0.35">
      <c r="A1398" t="s">
        <v>1424</v>
      </c>
      <c r="B1398">
        <v>1397</v>
      </c>
      <c r="C1398">
        <v>20</v>
      </c>
      <c r="D1398" t="s">
        <v>16</v>
      </c>
      <c r="E1398" t="s">
        <v>17</v>
      </c>
      <c r="F1398">
        <v>3.72</v>
      </c>
      <c r="G1398">
        <v>3</v>
      </c>
      <c r="H1398">
        <v>67.8</v>
      </c>
      <c r="I1398">
        <v>0.78</v>
      </c>
      <c r="J1398" t="s">
        <v>28</v>
      </c>
      <c r="K1398">
        <v>27</v>
      </c>
      <c r="L1398">
        <v>60</v>
      </c>
      <c r="M1398">
        <v>0.7</v>
      </c>
      <c r="N1398">
        <v>2</v>
      </c>
      <c r="O1398">
        <v>0.65</v>
      </c>
      <c r="P1398" t="s">
        <v>24</v>
      </c>
    </row>
    <row r="1399" spans="1:16" x14ac:dyDescent="0.35">
      <c r="A1399" t="s">
        <v>1425</v>
      </c>
      <c r="B1399">
        <v>1398</v>
      </c>
      <c r="C1399">
        <v>24</v>
      </c>
      <c r="D1399" t="s">
        <v>16</v>
      </c>
      <c r="E1399" t="s">
        <v>46</v>
      </c>
      <c r="F1399">
        <v>3.46</v>
      </c>
      <c r="G1399">
        <v>3</v>
      </c>
      <c r="H1399">
        <v>93.1</v>
      </c>
      <c r="I1399">
        <v>0.94</v>
      </c>
      <c r="J1399" t="s">
        <v>28</v>
      </c>
      <c r="K1399">
        <v>6</v>
      </c>
      <c r="L1399">
        <v>81</v>
      </c>
      <c r="M1399">
        <v>0.86</v>
      </c>
      <c r="N1399">
        <v>9</v>
      </c>
      <c r="O1399">
        <v>0.77</v>
      </c>
      <c r="P1399" t="s">
        <v>41</v>
      </c>
    </row>
    <row r="1400" spans="1:16" x14ac:dyDescent="0.35">
      <c r="A1400" t="s">
        <v>1426</v>
      </c>
      <c r="B1400">
        <v>1399</v>
      </c>
      <c r="C1400">
        <v>21</v>
      </c>
      <c r="D1400" t="s">
        <v>21</v>
      </c>
      <c r="E1400" t="s">
        <v>22</v>
      </c>
      <c r="F1400">
        <v>3.89</v>
      </c>
      <c r="G1400">
        <v>6</v>
      </c>
      <c r="H1400">
        <v>82.5</v>
      </c>
      <c r="I1400">
        <v>0.98</v>
      </c>
      <c r="J1400" t="s">
        <v>28</v>
      </c>
      <c r="K1400">
        <v>17</v>
      </c>
      <c r="L1400">
        <v>69</v>
      </c>
      <c r="M1400">
        <v>0.77</v>
      </c>
      <c r="N1400">
        <v>10</v>
      </c>
      <c r="O1400">
        <v>0.85</v>
      </c>
      <c r="P1400" t="s">
        <v>41</v>
      </c>
    </row>
    <row r="1401" spans="1:16" x14ac:dyDescent="0.35">
      <c r="A1401" t="s">
        <v>1427</v>
      </c>
      <c r="B1401">
        <v>1400</v>
      </c>
      <c r="C1401">
        <v>22</v>
      </c>
      <c r="D1401" t="s">
        <v>32</v>
      </c>
      <c r="E1401" t="s">
        <v>30</v>
      </c>
      <c r="F1401">
        <v>3.56</v>
      </c>
      <c r="G1401">
        <v>6</v>
      </c>
      <c r="H1401">
        <v>90.5</v>
      </c>
      <c r="I1401">
        <v>0.73</v>
      </c>
      <c r="J1401" t="s">
        <v>18</v>
      </c>
      <c r="K1401">
        <v>35</v>
      </c>
      <c r="L1401">
        <v>88</v>
      </c>
      <c r="M1401">
        <v>0.91</v>
      </c>
      <c r="N1401">
        <v>18</v>
      </c>
      <c r="O1401">
        <v>1</v>
      </c>
      <c r="P1401" t="s">
        <v>19</v>
      </c>
    </row>
    <row r="1402" spans="1:16" x14ac:dyDescent="0.35">
      <c r="A1402" t="s">
        <v>1428</v>
      </c>
      <c r="B1402">
        <v>1401</v>
      </c>
      <c r="C1402">
        <v>20</v>
      </c>
      <c r="D1402" t="s">
        <v>21</v>
      </c>
      <c r="E1402" t="s">
        <v>30</v>
      </c>
      <c r="F1402">
        <v>2.63</v>
      </c>
      <c r="G1402">
        <v>5</v>
      </c>
      <c r="H1402">
        <v>88.5</v>
      </c>
      <c r="I1402">
        <v>0.82</v>
      </c>
      <c r="J1402" t="s">
        <v>28</v>
      </c>
      <c r="K1402">
        <v>35</v>
      </c>
      <c r="L1402">
        <v>40</v>
      </c>
      <c r="M1402">
        <v>0.71</v>
      </c>
      <c r="N1402">
        <v>13</v>
      </c>
      <c r="O1402">
        <v>0.72</v>
      </c>
      <c r="P1402" t="s">
        <v>24</v>
      </c>
    </row>
    <row r="1403" spans="1:16" x14ac:dyDescent="0.35">
      <c r="A1403" t="s">
        <v>1429</v>
      </c>
      <c r="B1403">
        <v>1402</v>
      </c>
      <c r="C1403">
        <v>20</v>
      </c>
      <c r="D1403" t="s">
        <v>21</v>
      </c>
      <c r="E1403" t="s">
        <v>30</v>
      </c>
      <c r="F1403">
        <v>2.5</v>
      </c>
      <c r="G1403">
        <v>3</v>
      </c>
      <c r="H1403">
        <v>68.3</v>
      </c>
      <c r="I1403">
        <v>0.64</v>
      </c>
      <c r="J1403" t="s">
        <v>18</v>
      </c>
      <c r="K1403">
        <v>3</v>
      </c>
      <c r="L1403">
        <v>81</v>
      </c>
      <c r="M1403">
        <v>0.53</v>
      </c>
      <c r="N1403">
        <v>10</v>
      </c>
      <c r="O1403">
        <v>0.71</v>
      </c>
      <c r="P1403" t="s">
        <v>19</v>
      </c>
    </row>
    <row r="1404" spans="1:16" x14ac:dyDescent="0.35">
      <c r="A1404" t="s">
        <v>1430</v>
      </c>
      <c r="B1404">
        <v>1403</v>
      </c>
      <c r="C1404">
        <v>18</v>
      </c>
      <c r="D1404" t="s">
        <v>21</v>
      </c>
      <c r="E1404" t="s">
        <v>30</v>
      </c>
      <c r="F1404">
        <v>3.4</v>
      </c>
      <c r="G1404">
        <v>4</v>
      </c>
      <c r="H1404">
        <v>82.8</v>
      </c>
      <c r="I1404">
        <v>0.68</v>
      </c>
      <c r="J1404" t="s">
        <v>18</v>
      </c>
      <c r="K1404">
        <v>29</v>
      </c>
      <c r="L1404">
        <v>67</v>
      </c>
      <c r="M1404">
        <v>0.78</v>
      </c>
      <c r="N1404">
        <v>3</v>
      </c>
      <c r="O1404">
        <v>0.92</v>
      </c>
      <c r="P1404" t="s">
        <v>19</v>
      </c>
    </row>
    <row r="1405" spans="1:16" x14ac:dyDescent="0.35">
      <c r="A1405" t="s">
        <v>1431</v>
      </c>
      <c r="B1405">
        <v>1404</v>
      </c>
      <c r="C1405">
        <v>23</v>
      </c>
      <c r="D1405" t="s">
        <v>32</v>
      </c>
      <c r="E1405" t="s">
        <v>22</v>
      </c>
      <c r="F1405">
        <v>2.73</v>
      </c>
      <c r="G1405">
        <v>6</v>
      </c>
      <c r="H1405">
        <v>94.7</v>
      </c>
      <c r="I1405">
        <v>0.77</v>
      </c>
      <c r="J1405" t="s">
        <v>28</v>
      </c>
      <c r="K1405">
        <v>23</v>
      </c>
      <c r="L1405">
        <v>13</v>
      </c>
      <c r="M1405">
        <v>0.59</v>
      </c>
      <c r="N1405">
        <v>5</v>
      </c>
      <c r="O1405">
        <v>0.9</v>
      </c>
      <c r="P1405" t="s">
        <v>24</v>
      </c>
    </row>
    <row r="1406" spans="1:16" x14ac:dyDescent="0.35">
      <c r="A1406" t="s">
        <v>1432</v>
      </c>
      <c r="B1406">
        <v>1405</v>
      </c>
      <c r="C1406">
        <v>19</v>
      </c>
      <c r="D1406" t="s">
        <v>21</v>
      </c>
      <c r="E1406" t="s">
        <v>17</v>
      </c>
      <c r="F1406">
        <v>3.13</v>
      </c>
      <c r="G1406">
        <v>4</v>
      </c>
      <c r="H1406">
        <v>77.3</v>
      </c>
      <c r="I1406">
        <v>0.68</v>
      </c>
      <c r="J1406" t="s">
        <v>28</v>
      </c>
      <c r="K1406">
        <v>19</v>
      </c>
      <c r="L1406">
        <v>31</v>
      </c>
      <c r="M1406">
        <v>0.98</v>
      </c>
      <c r="N1406">
        <v>16</v>
      </c>
      <c r="O1406">
        <v>0.87</v>
      </c>
      <c r="P1406" t="s">
        <v>19</v>
      </c>
    </row>
    <row r="1407" spans="1:16" x14ac:dyDescent="0.35">
      <c r="A1407" t="s">
        <v>1433</v>
      </c>
      <c r="B1407">
        <v>1406</v>
      </c>
      <c r="C1407">
        <v>25</v>
      </c>
      <c r="D1407" t="s">
        <v>32</v>
      </c>
      <c r="E1407" t="s">
        <v>30</v>
      </c>
      <c r="F1407">
        <v>2.0099999999999998</v>
      </c>
      <c r="G1407">
        <v>6</v>
      </c>
      <c r="H1407">
        <v>98.7</v>
      </c>
      <c r="I1407">
        <v>0.95</v>
      </c>
      <c r="J1407" t="s">
        <v>28</v>
      </c>
      <c r="K1407">
        <v>30</v>
      </c>
      <c r="L1407">
        <v>12</v>
      </c>
      <c r="M1407">
        <v>0.76</v>
      </c>
      <c r="N1407">
        <v>18</v>
      </c>
      <c r="O1407">
        <v>0.73</v>
      </c>
      <c r="P1407" t="s">
        <v>19</v>
      </c>
    </row>
    <row r="1408" spans="1:16" x14ac:dyDescent="0.35">
      <c r="A1408" t="s">
        <v>1434</v>
      </c>
      <c r="B1408">
        <v>1407</v>
      </c>
      <c r="C1408">
        <v>19</v>
      </c>
      <c r="D1408" t="s">
        <v>21</v>
      </c>
      <c r="E1408" t="s">
        <v>46</v>
      </c>
      <c r="F1408">
        <v>2.12</v>
      </c>
      <c r="G1408">
        <v>6</v>
      </c>
      <c r="H1408">
        <v>78.099999999999994</v>
      </c>
      <c r="I1408">
        <v>0.66</v>
      </c>
      <c r="J1408" t="s">
        <v>23</v>
      </c>
      <c r="K1408">
        <v>23</v>
      </c>
      <c r="L1408">
        <v>88</v>
      </c>
      <c r="M1408">
        <v>0.78</v>
      </c>
      <c r="N1408">
        <v>12</v>
      </c>
      <c r="O1408">
        <v>0.66</v>
      </c>
      <c r="P1408" t="s">
        <v>19</v>
      </c>
    </row>
    <row r="1409" spans="1:16" x14ac:dyDescent="0.35">
      <c r="A1409" t="s">
        <v>1435</v>
      </c>
      <c r="B1409">
        <v>1408</v>
      </c>
      <c r="C1409">
        <v>22</v>
      </c>
      <c r="D1409" t="s">
        <v>16</v>
      </c>
      <c r="E1409" t="s">
        <v>17</v>
      </c>
      <c r="F1409">
        <v>3.07</v>
      </c>
      <c r="G1409">
        <v>3</v>
      </c>
      <c r="H1409">
        <v>65.7</v>
      </c>
      <c r="I1409">
        <v>0.78</v>
      </c>
      <c r="J1409" t="s">
        <v>18</v>
      </c>
      <c r="K1409">
        <v>6</v>
      </c>
      <c r="L1409">
        <v>56</v>
      </c>
      <c r="M1409">
        <v>0.95</v>
      </c>
      <c r="N1409">
        <v>9</v>
      </c>
      <c r="O1409">
        <v>0.8</v>
      </c>
      <c r="P1409" t="s">
        <v>24</v>
      </c>
    </row>
    <row r="1410" spans="1:16" x14ac:dyDescent="0.35">
      <c r="A1410" t="s">
        <v>1436</v>
      </c>
      <c r="B1410">
        <v>1409</v>
      </c>
      <c r="C1410">
        <v>24</v>
      </c>
      <c r="D1410" t="s">
        <v>21</v>
      </c>
      <c r="E1410" t="s">
        <v>30</v>
      </c>
      <c r="F1410">
        <v>3.13</v>
      </c>
      <c r="G1410">
        <v>6</v>
      </c>
      <c r="H1410">
        <v>75.599999999999994</v>
      </c>
      <c r="I1410">
        <v>0.84</v>
      </c>
      <c r="J1410" t="s">
        <v>28</v>
      </c>
      <c r="K1410">
        <v>25</v>
      </c>
      <c r="L1410">
        <v>47</v>
      </c>
      <c r="M1410">
        <v>0.81</v>
      </c>
      <c r="N1410">
        <v>10</v>
      </c>
      <c r="O1410">
        <v>0.94</v>
      </c>
      <c r="P1410" t="s">
        <v>24</v>
      </c>
    </row>
    <row r="1411" spans="1:16" x14ac:dyDescent="0.35">
      <c r="A1411" t="s">
        <v>1437</v>
      </c>
      <c r="B1411">
        <v>1410</v>
      </c>
      <c r="C1411">
        <v>19</v>
      </c>
      <c r="D1411" t="s">
        <v>21</v>
      </c>
      <c r="E1411" t="s">
        <v>17</v>
      </c>
      <c r="F1411">
        <v>3.5</v>
      </c>
      <c r="G1411">
        <v>4</v>
      </c>
      <c r="H1411">
        <v>98.1</v>
      </c>
      <c r="I1411">
        <v>0.88</v>
      </c>
      <c r="J1411" t="s">
        <v>23</v>
      </c>
      <c r="K1411">
        <v>12</v>
      </c>
      <c r="L1411">
        <v>42</v>
      </c>
      <c r="M1411">
        <v>0.65</v>
      </c>
      <c r="N1411">
        <v>5</v>
      </c>
      <c r="O1411">
        <v>0.94</v>
      </c>
      <c r="P1411" t="s">
        <v>41</v>
      </c>
    </row>
    <row r="1412" spans="1:16" x14ac:dyDescent="0.35">
      <c r="A1412" t="s">
        <v>1438</v>
      </c>
      <c r="B1412">
        <v>1411</v>
      </c>
      <c r="C1412">
        <v>21</v>
      </c>
      <c r="D1412" t="s">
        <v>16</v>
      </c>
      <c r="E1412" t="s">
        <v>46</v>
      </c>
      <c r="F1412">
        <v>2.2599999999999998</v>
      </c>
      <c r="G1412">
        <v>6</v>
      </c>
      <c r="H1412">
        <v>72.8</v>
      </c>
      <c r="I1412">
        <v>0.75</v>
      </c>
      <c r="J1412" t="s">
        <v>18</v>
      </c>
      <c r="K1412">
        <v>7</v>
      </c>
      <c r="L1412">
        <v>87</v>
      </c>
      <c r="M1412">
        <v>0.65</v>
      </c>
      <c r="N1412">
        <v>1</v>
      </c>
      <c r="O1412">
        <v>0.55000000000000004</v>
      </c>
      <c r="P1412" t="s">
        <v>19</v>
      </c>
    </row>
    <row r="1413" spans="1:16" x14ac:dyDescent="0.35">
      <c r="A1413" t="s">
        <v>1439</v>
      </c>
      <c r="B1413">
        <v>1412</v>
      </c>
      <c r="C1413">
        <v>19</v>
      </c>
      <c r="D1413" t="s">
        <v>32</v>
      </c>
      <c r="E1413" t="s">
        <v>30</v>
      </c>
      <c r="F1413">
        <v>3.03</v>
      </c>
      <c r="G1413">
        <v>5</v>
      </c>
      <c r="H1413">
        <v>94.7</v>
      </c>
      <c r="I1413">
        <v>0.95</v>
      </c>
      <c r="J1413" t="s">
        <v>23</v>
      </c>
      <c r="K1413">
        <v>4</v>
      </c>
      <c r="L1413">
        <v>57</v>
      </c>
      <c r="M1413">
        <v>0.75</v>
      </c>
      <c r="N1413">
        <v>0</v>
      </c>
      <c r="O1413">
        <v>0.71</v>
      </c>
      <c r="P1413" t="s">
        <v>41</v>
      </c>
    </row>
    <row r="1414" spans="1:16" x14ac:dyDescent="0.35">
      <c r="A1414" t="s">
        <v>1440</v>
      </c>
      <c r="B1414">
        <v>1413</v>
      </c>
      <c r="C1414">
        <v>22</v>
      </c>
      <c r="D1414" t="s">
        <v>32</v>
      </c>
      <c r="E1414" t="s">
        <v>46</v>
      </c>
      <c r="F1414">
        <v>2.39</v>
      </c>
      <c r="G1414">
        <v>3</v>
      </c>
      <c r="H1414">
        <v>95.3</v>
      </c>
      <c r="I1414">
        <v>0.83</v>
      </c>
      <c r="J1414" t="s">
        <v>23</v>
      </c>
      <c r="K1414">
        <v>12</v>
      </c>
      <c r="L1414">
        <v>74</v>
      </c>
      <c r="M1414">
        <v>0.93</v>
      </c>
      <c r="N1414">
        <v>10</v>
      </c>
      <c r="O1414">
        <v>0.73</v>
      </c>
      <c r="P1414" t="s">
        <v>19</v>
      </c>
    </row>
    <row r="1415" spans="1:16" x14ac:dyDescent="0.35">
      <c r="A1415" t="s">
        <v>1441</v>
      </c>
      <c r="B1415">
        <v>1414</v>
      </c>
      <c r="C1415">
        <v>25</v>
      </c>
      <c r="D1415" t="s">
        <v>21</v>
      </c>
      <c r="E1415" t="s">
        <v>22</v>
      </c>
      <c r="F1415">
        <v>2.19</v>
      </c>
      <c r="G1415">
        <v>3</v>
      </c>
      <c r="H1415">
        <v>74</v>
      </c>
      <c r="I1415">
        <v>0.78</v>
      </c>
      <c r="J1415" t="s">
        <v>28</v>
      </c>
      <c r="K1415">
        <v>28</v>
      </c>
      <c r="L1415">
        <v>35</v>
      </c>
      <c r="M1415">
        <v>0.9</v>
      </c>
      <c r="N1415">
        <v>15</v>
      </c>
      <c r="O1415">
        <v>0.99</v>
      </c>
      <c r="P1415" t="s">
        <v>19</v>
      </c>
    </row>
    <row r="1416" spans="1:16" x14ac:dyDescent="0.35">
      <c r="A1416" t="s">
        <v>1442</v>
      </c>
      <c r="B1416">
        <v>1415</v>
      </c>
      <c r="C1416">
        <v>19</v>
      </c>
      <c r="D1416" t="s">
        <v>16</v>
      </c>
      <c r="E1416" t="s">
        <v>30</v>
      </c>
      <c r="F1416">
        <v>2.82</v>
      </c>
      <c r="G1416">
        <v>5</v>
      </c>
      <c r="H1416">
        <v>63.3</v>
      </c>
      <c r="I1416">
        <v>0.63</v>
      </c>
      <c r="J1416" t="s">
        <v>18</v>
      </c>
      <c r="K1416">
        <v>19</v>
      </c>
      <c r="L1416">
        <v>17</v>
      </c>
      <c r="M1416">
        <v>0.98</v>
      </c>
      <c r="N1416">
        <v>2</v>
      </c>
      <c r="O1416">
        <v>0.84</v>
      </c>
      <c r="P1416" t="s">
        <v>19</v>
      </c>
    </row>
    <row r="1417" spans="1:16" x14ac:dyDescent="0.35">
      <c r="A1417" t="s">
        <v>1443</v>
      </c>
      <c r="B1417">
        <v>1416</v>
      </c>
      <c r="C1417">
        <v>21</v>
      </c>
      <c r="D1417" t="s">
        <v>32</v>
      </c>
      <c r="E1417" t="s">
        <v>30</v>
      </c>
      <c r="F1417">
        <v>2.33</v>
      </c>
      <c r="G1417">
        <v>5</v>
      </c>
      <c r="H1417">
        <v>89</v>
      </c>
      <c r="I1417">
        <v>0.79</v>
      </c>
      <c r="J1417" t="s">
        <v>23</v>
      </c>
      <c r="K1417">
        <v>13</v>
      </c>
      <c r="L1417">
        <v>59</v>
      </c>
      <c r="M1417">
        <v>0.54</v>
      </c>
      <c r="N1417">
        <v>4</v>
      </c>
      <c r="O1417">
        <v>0.7</v>
      </c>
      <c r="P1417" t="s">
        <v>19</v>
      </c>
    </row>
    <row r="1418" spans="1:16" x14ac:dyDescent="0.35">
      <c r="A1418" t="s">
        <v>1444</v>
      </c>
      <c r="B1418">
        <v>1417</v>
      </c>
      <c r="C1418">
        <v>18</v>
      </c>
      <c r="D1418" t="s">
        <v>21</v>
      </c>
      <c r="E1418" t="s">
        <v>30</v>
      </c>
      <c r="F1418">
        <v>2.44</v>
      </c>
      <c r="G1418">
        <v>5</v>
      </c>
      <c r="H1418">
        <v>72.5</v>
      </c>
      <c r="I1418">
        <v>0.93</v>
      </c>
      <c r="J1418" t="s">
        <v>18</v>
      </c>
      <c r="K1418">
        <v>31</v>
      </c>
      <c r="L1418">
        <v>89</v>
      </c>
      <c r="M1418">
        <v>0.63</v>
      </c>
      <c r="N1418">
        <v>14</v>
      </c>
      <c r="O1418">
        <v>0.51</v>
      </c>
      <c r="P1418" t="s">
        <v>19</v>
      </c>
    </row>
    <row r="1419" spans="1:16" x14ac:dyDescent="0.35">
      <c r="A1419" t="s">
        <v>1445</v>
      </c>
      <c r="B1419">
        <v>1418</v>
      </c>
      <c r="C1419">
        <v>24</v>
      </c>
      <c r="D1419" t="s">
        <v>16</v>
      </c>
      <c r="E1419" t="s">
        <v>30</v>
      </c>
      <c r="F1419">
        <v>2.64</v>
      </c>
      <c r="G1419">
        <v>6</v>
      </c>
      <c r="H1419">
        <v>91.3</v>
      </c>
      <c r="I1419">
        <v>0.85</v>
      </c>
      <c r="J1419" t="s">
        <v>28</v>
      </c>
      <c r="K1419">
        <v>26</v>
      </c>
      <c r="L1419">
        <v>47</v>
      </c>
      <c r="M1419">
        <v>0.54</v>
      </c>
      <c r="N1419">
        <v>14</v>
      </c>
      <c r="O1419">
        <v>0.78</v>
      </c>
      <c r="P1419" t="s">
        <v>24</v>
      </c>
    </row>
    <row r="1420" spans="1:16" x14ac:dyDescent="0.35">
      <c r="A1420" t="s">
        <v>1446</v>
      </c>
      <c r="B1420">
        <v>1419</v>
      </c>
      <c r="C1420">
        <v>22</v>
      </c>
      <c r="D1420" t="s">
        <v>32</v>
      </c>
      <c r="E1420" t="s">
        <v>22</v>
      </c>
      <c r="F1420">
        <v>2.52</v>
      </c>
      <c r="G1420">
        <v>3</v>
      </c>
      <c r="H1420">
        <v>77.7</v>
      </c>
      <c r="I1420">
        <v>0.93</v>
      </c>
      <c r="J1420" t="s">
        <v>18</v>
      </c>
      <c r="K1420">
        <v>24</v>
      </c>
      <c r="L1420">
        <v>19</v>
      </c>
      <c r="M1420">
        <v>0.88</v>
      </c>
      <c r="N1420">
        <v>3</v>
      </c>
      <c r="O1420">
        <v>0.55000000000000004</v>
      </c>
      <c r="P1420" t="s">
        <v>24</v>
      </c>
    </row>
    <row r="1421" spans="1:16" x14ac:dyDescent="0.35">
      <c r="A1421" t="s">
        <v>1447</v>
      </c>
      <c r="B1421">
        <v>1420</v>
      </c>
      <c r="C1421">
        <v>18</v>
      </c>
      <c r="D1421" t="s">
        <v>32</v>
      </c>
      <c r="E1421" t="s">
        <v>30</v>
      </c>
      <c r="F1421">
        <v>2.1800000000000002</v>
      </c>
      <c r="G1421">
        <v>5</v>
      </c>
      <c r="H1421">
        <v>79.400000000000006</v>
      </c>
      <c r="I1421">
        <v>0.8</v>
      </c>
      <c r="J1421" t="s">
        <v>23</v>
      </c>
      <c r="K1421">
        <v>3</v>
      </c>
      <c r="L1421">
        <v>51</v>
      </c>
      <c r="M1421">
        <v>0.56999999999999995</v>
      </c>
      <c r="N1421">
        <v>3</v>
      </c>
      <c r="O1421">
        <v>0.92</v>
      </c>
      <c r="P1421" t="s">
        <v>19</v>
      </c>
    </row>
    <row r="1422" spans="1:16" x14ac:dyDescent="0.35">
      <c r="A1422" t="s">
        <v>1448</v>
      </c>
      <c r="B1422">
        <v>1421</v>
      </c>
      <c r="C1422">
        <v>18</v>
      </c>
      <c r="D1422" t="s">
        <v>16</v>
      </c>
      <c r="E1422" t="s">
        <v>17</v>
      </c>
      <c r="F1422">
        <v>2.1800000000000002</v>
      </c>
      <c r="G1422">
        <v>6</v>
      </c>
      <c r="H1422">
        <v>91.1</v>
      </c>
      <c r="I1422">
        <v>0.65</v>
      </c>
      <c r="J1422" t="s">
        <v>23</v>
      </c>
      <c r="K1422">
        <v>20</v>
      </c>
      <c r="L1422">
        <v>46</v>
      </c>
      <c r="M1422">
        <v>0.55000000000000004</v>
      </c>
      <c r="N1422">
        <v>7</v>
      </c>
      <c r="O1422">
        <v>0.88</v>
      </c>
      <c r="P1422" t="s">
        <v>19</v>
      </c>
    </row>
    <row r="1423" spans="1:16" x14ac:dyDescent="0.35">
      <c r="A1423" t="s">
        <v>1449</v>
      </c>
      <c r="B1423">
        <v>1422</v>
      </c>
      <c r="C1423">
        <v>18</v>
      </c>
      <c r="D1423" t="s">
        <v>16</v>
      </c>
      <c r="E1423" t="s">
        <v>30</v>
      </c>
      <c r="F1423">
        <v>2.39</v>
      </c>
      <c r="G1423">
        <v>5</v>
      </c>
      <c r="H1423">
        <v>75.3</v>
      </c>
      <c r="I1423">
        <v>0.61</v>
      </c>
      <c r="J1423" t="s">
        <v>18</v>
      </c>
      <c r="K1423">
        <v>17</v>
      </c>
      <c r="L1423">
        <v>35</v>
      </c>
      <c r="M1423">
        <v>0.78</v>
      </c>
      <c r="N1423">
        <v>6</v>
      </c>
      <c r="O1423">
        <v>0.73</v>
      </c>
      <c r="P1423" t="s">
        <v>19</v>
      </c>
    </row>
    <row r="1424" spans="1:16" x14ac:dyDescent="0.35">
      <c r="A1424" t="s">
        <v>1450</v>
      </c>
      <c r="B1424">
        <v>1423</v>
      </c>
      <c r="C1424">
        <v>20</v>
      </c>
      <c r="D1424" t="s">
        <v>16</v>
      </c>
      <c r="E1424" t="s">
        <v>22</v>
      </c>
      <c r="F1424">
        <v>2.1</v>
      </c>
      <c r="G1424">
        <v>4</v>
      </c>
      <c r="H1424">
        <v>77.7</v>
      </c>
      <c r="I1424">
        <v>0.72</v>
      </c>
      <c r="J1424" t="s">
        <v>23</v>
      </c>
      <c r="K1424">
        <v>38</v>
      </c>
      <c r="L1424">
        <v>21</v>
      </c>
      <c r="M1424">
        <v>0.71</v>
      </c>
      <c r="N1424">
        <v>16</v>
      </c>
      <c r="O1424">
        <v>0.71</v>
      </c>
      <c r="P1424" t="s">
        <v>19</v>
      </c>
    </row>
    <row r="1425" spans="1:16" x14ac:dyDescent="0.35">
      <c r="A1425" t="s">
        <v>1451</v>
      </c>
      <c r="B1425">
        <v>1424</v>
      </c>
      <c r="C1425">
        <v>24</v>
      </c>
      <c r="D1425" t="s">
        <v>16</v>
      </c>
      <c r="E1425" t="s">
        <v>30</v>
      </c>
      <c r="F1425">
        <v>3.25</v>
      </c>
      <c r="G1425">
        <v>4</v>
      </c>
      <c r="H1425">
        <v>75</v>
      </c>
      <c r="I1425">
        <v>0.88</v>
      </c>
      <c r="J1425" t="s">
        <v>23</v>
      </c>
      <c r="K1425">
        <v>14</v>
      </c>
      <c r="L1425">
        <v>58</v>
      </c>
      <c r="M1425">
        <v>0.86</v>
      </c>
      <c r="N1425">
        <v>14</v>
      </c>
      <c r="O1425">
        <v>0.95</v>
      </c>
      <c r="P1425" t="s">
        <v>41</v>
      </c>
    </row>
    <row r="1426" spans="1:16" x14ac:dyDescent="0.35">
      <c r="A1426" t="s">
        <v>1452</v>
      </c>
      <c r="B1426">
        <v>1425</v>
      </c>
      <c r="C1426">
        <v>25</v>
      </c>
      <c r="D1426" t="s">
        <v>21</v>
      </c>
      <c r="E1426" t="s">
        <v>17</v>
      </c>
      <c r="F1426">
        <v>2.57</v>
      </c>
      <c r="G1426">
        <v>3</v>
      </c>
      <c r="H1426">
        <v>74.7</v>
      </c>
      <c r="I1426">
        <v>0.92</v>
      </c>
      <c r="J1426" t="s">
        <v>23</v>
      </c>
      <c r="K1426">
        <v>37</v>
      </c>
      <c r="L1426">
        <v>23</v>
      </c>
      <c r="M1426">
        <v>0.74</v>
      </c>
      <c r="N1426">
        <v>4</v>
      </c>
      <c r="O1426">
        <v>0.64</v>
      </c>
      <c r="P1426" t="s">
        <v>24</v>
      </c>
    </row>
    <row r="1427" spans="1:16" x14ac:dyDescent="0.35">
      <c r="A1427" t="s">
        <v>1453</v>
      </c>
      <c r="B1427">
        <v>1426</v>
      </c>
      <c r="C1427">
        <v>23</v>
      </c>
      <c r="D1427" t="s">
        <v>16</v>
      </c>
      <c r="E1427" t="s">
        <v>22</v>
      </c>
      <c r="F1427">
        <v>2.56</v>
      </c>
      <c r="G1427">
        <v>6</v>
      </c>
      <c r="H1427">
        <v>81</v>
      </c>
      <c r="I1427">
        <v>0.72</v>
      </c>
      <c r="J1427" t="s">
        <v>28</v>
      </c>
      <c r="K1427">
        <v>23</v>
      </c>
      <c r="L1427">
        <v>55</v>
      </c>
      <c r="M1427">
        <v>0.71</v>
      </c>
      <c r="N1427">
        <v>12</v>
      </c>
      <c r="O1427">
        <v>0.62</v>
      </c>
      <c r="P1427" t="s">
        <v>19</v>
      </c>
    </row>
    <row r="1428" spans="1:16" x14ac:dyDescent="0.35">
      <c r="A1428" t="s">
        <v>1454</v>
      </c>
      <c r="B1428">
        <v>1427</v>
      </c>
      <c r="C1428">
        <v>24</v>
      </c>
      <c r="D1428" t="s">
        <v>32</v>
      </c>
      <c r="E1428" t="s">
        <v>22</v>
      </c>
      <c r="F1428">
        <v>2.66</v>
      </c>
      <c r="G1428">
        <v>4</v>
      </c>
      <c r="H1428">
        <v>92.4</v>
      </c>
      <c r="I1428">
        <v>0.8</v>
      </c>
      <c r="J1428" t="s">
        <v>28</v>
      </c>
      <c r="K1428">
        <v>7</v>
      </c>
      <c r="L1428">
        <v>44</v>
      </c>
      <c r="M1428">
        <v>0.71</v>
      </c>
      <c r="N1428">
        <v>3</v>
      </c>
      <c r="O1428">
        <v>0.97</v>
      </c>
      <c r="P1428" t="s">
        <v>24</v>
      </c>
    </row>
    <row r="1429" spans="1:16" x14ac:dyDescent="0.35">
      <c r="A1429" t="s">
        <v>1455</v>
      </c>
      <c r="B1429">
        <v>1428</v>
      </c>
      <c r="C1429">
        <v>20</v>
      </c>
      <c r="D1429" t="s">
        <v>32</v>
      </c>
      <c r="E1429" t="s">
        <v>17</v>
      </c>
      <c r="F1429">
        <v>3.33</v>
      </c>
      <c r="G1429">
        <v>4</v>
      </c>
      <c r="H1429">
        <v>74.5</v>
      </c>
      <c r="I1429">
        <v>0.77</v>
      </c>
      <c r="J1429" t="s">
        <v>23</v>
      </c>
      <c r="K1429">
        <v>27</v>
      </c>
      <c r="L1429">
        <v>38</v>
      </c>
      <c r="M1429">
        <v>0.94</v>
      </c>
      <c r="N1429">
        <v>16</v>
      </c>
      <c r="O1429">
        <v>0.9</v>
      </c>
      <c r="P1429" t="s">
        <v>24</v>
      </c>
    </row>
    <row r="1430" spans="1:16" x14ac:dyDescent="0.35">
      <c r="A1430" t="s">
        <v>1456</v>
      </c>
      <c r="B1430">
        <v>1429</v>
      </c>
      <c r="C1430">
        <v>23</v>
      </c>
      <c r="D1430" t="s">
        <v>21</v>
      </c>
      <c r="E1430" t="s">
        <v>17</v>
      </c>
      <c r="F1430">
        <v>3.74</v>
      </c>
      <c r="G1430">
        <v>6</v>
      </c>
      <c r="H1430">
        <v>81</v>
      </c>
      <c r="I1430">
        <v>0.76</v>
      </c>
      <c r="J1430" t="s">
        <v>18</v>
      </c>
      <c r="K1430">
        <v>20</v>
      </c>
      <c r="L1430">
        <v>21</v>
      </c>
      <c r="M1430">
        <v>0.7</v>
      </c>
      <c r="N1430">
        <v>16</v>
      </c>
      <c r="O1430">
        <v>0.91</v>
      </c>
      <c r="P1430" t="s">
        <v>24</v>
      </c>
    </row>
    <row r="1431" spans="1:16" x14ac:dyDescent="0.35">
      <c r="A1431" t="s">
        <v>1457</v>
      </c>
      <c r="B1431">
        <v>1430</v>
      </c>
      <c r="C1431">
        <v>24</v>
      </c>
      <c r="D1431" t="s">
        <v>32</v>
      </c>
      <c r="E1431" t="s">
        <v>17</v>
      </c>
      <c r="F1431">
        <v>3.52</v>
      </c>
      <c r="G1431">
        <v>5</v>
      </c>
      <c r="H1431">
        <v>86.8</v>
      </c>
      <c r="I1431">
        <v>0.69</v>
      </c>
      <c r="J1431" t="s">
        <v>28</v>
      </c>
      <c r="K1431">
        <v>15</v>
      </c>
      <c r="L1431">
        <v>53</v>
      </c>
      <c r="M1431">
        <v>0.67</v>
      </c>
      <c r="N1431">
        <v>13</v>
      </c>
      <c r="O1431">
        <v>0.6</v>
      </c>
      <c r="P1431" t="s">
        <v>19</v>
      </c>
    </row>
    <row r="1432" spans="1:16" x14ac:dyDescent="0.35">
      <c r="A1432" t="s">
        <v>1458</v>
      </c>
      <c r="B1432">
        <v>1431</v>
      </c>
      <c r="C1432">
        <v>18</v>
      </c>
      <c r="D1432" t="s">
        <v>32</v>
      </c>
      <c r="E1432" t="s">
        <v>17</v>
      </c>
      <c r="F1432">
        <v>3.46</v>
      </c>
      <c r="G1432">
        <v>6</v>
      </c>
      <c r="H1432">
        <v>70.8</v>
      </c>
      <c r="I1432">
        <v>0.65</v>
      </c>
      <c r="J1432" t="s">
        <v>18</v>
      </c>
      <c r="K1432">
        <v>15</v>
      </c>
      <c r="L1432">
        <v>75</v>
      </c>
      <c r="M1432">
        <v>0.67</v>
      </c>
      <c r="N1432">
        <v>13</v>
      </c>
      <c r="O1432">
        <v>0.56999999999999995</v>
      </c>
      <c r="P1432" t="s">
        <v>19</v>
      </c>
    </row>
    <row r="1433" spans="1:16" x14ac:dyDescent="0.35">
      <c r="A1433" t="s">
        <v>1459</v>
      </c>
      <c r="B1433">
        <v>1432</v>
      </c>
      <c r="C1433">
        <v>22</v>
      </c>
      <c r="D1433" t="s">
        <v>16</v>
      </c>
      <c r="E1433" t="s">
        <v>17</v>
      </c>
      <c r="F1433">
        <v>2.97</v>
      </c>
      <c r="G1433">
        <v>5</v>
      </c>
      <c r="H1433">
        <v>71.099999999999994</v>
      </c>
      <c r="I1433">
        <v>0.68</v>
      </c>
      <c r="J1433" t="s">
        <v>23</v>
      </c>
      <c r="K1433">
        <v>34</v>
      </c>
      <c r="L1433">
        <v>11</v>
      </c>
      <c r="M1433">
        <v>0.6</v>
      </c>
      <c r="N1433">
        <v>16</v>
      </c>
      <c r="O1433">
        <v>0.51</v>
      </c>
      <c r="P1433" t="s">
        <v>19</v>
      </c>
    </row>
    <row r="1434" spans="1:16" x14ac:dyDescent="0.35">
      <c r="A1434" t="s">
        <v>1460</v>
      </c>
      <c r="B1434">
        <v>1433</v>
      </c>
      <c r="C1434">
        <v>23</v>
      </c>
      <c r="D1434" t="s">
        <v>32</v>
      </c>
      <c r="E1434" t="s">
        <v>22</v>
      </c>
      <c r="F1434">
        <v>3.39</v>
      </c>
      <c r="G1434">
        <v>4</v>
      </c>
      <c r="H1434">
        <v>97.3</v>
      </c>
      <c r="I1434">
        <v>0.62</v>
      </c>
      <c r="J1434" t="s">
        <v>23</v>
      </c>
      <c r="K1434">
        <v>16</v>
      </c>
      <c r="L1434">
        <v>68</v>
      </c>
      <c r="M1434">
        <v>0.93</v>
      </c>
      <c r="N1434">
        <v>7</v>
      </c>
      <c r="O1434">
        <v>0.62</v>
      </c>
      <c r="P1434" t="s">
        <v>19</v>
      </c>
    </row>
    <row r="1435" spans="1:16" x14ac:dyDescent="0.35">
      <c r="A1435" t="s">
        <v>1461</v>
      </c>
      <c r="B1435">
        <v>1434</v>
      </c>
      <c r="C1435">
        <v>21</v>
      </c>
      <c r="D1435" t="s">
        <v>21</v>
      </c>
      <c r="E1435" t="s">
        <v>22</v>
      </c>
      <c r="F1435">
        <v>3.11</v>
      </c>
      <c r="G1435">
        <v>4</v>
      </c>
      <c r="H1435">
        <v>88.9</v>
      </c>
      <c r="I1435">
        <v>0.68</v>
      </c>
      <c r="J1435" t="s">
        <v>18</v>
      </c>
      <c r="K1435">
        <v>8</v>
      </c>
      <c r="L1435">
        <v>26</v>
      </c>
      <c r="M1435">
        <v>0.56999999999999995</v>
      </c>
      <c r="N1435">
        <v>1</v>
      </c>
      <c r="O1435">
        <v>0.89</v>
      </c>
      <c r="P1435" t="s">
        <v>19</v>
      </c>
    </row>
    <row r="1436" spans="1:16" x14ac:dyDescent="0.35">
      <c r="A1436" t="s">
        <v>1462</v>
      </c>
      <c r="B1436">
        <v>1435</v>
      </c>
      <c r="C1436">
        <v>21</v>
      </c>
      <c r="D1436" t="s">
        <v>16</v>
      </c>
      <c r="E1436" t="s">
        <v>30</v>
      </c>
      <c r="F1436">
        <v>2.4300000000000002</v>
      </c>
      <c r="G1436">
        <v>4</v>
      </c>
      <c r="H1436">
        <v>83.1</v>
      </c>
      <c r="I1436">
        <v>0.6</v>
      </c>
      <c r="J1436" t="s">
        <v>28</v>
      </c>
      <c r="K1436">
        <v>34</v>
      </c>
      <c r="L1436">
        <v>19</v>
      </c>
      <c r="M1436">
        <v>0.95</v>
      </c>
      <c r="N1436">
        <v>12</v>
      </c>
      <c r="O1436">
        <v>0.62</v>
      </c>
      <c r="P1436" t="s">
        <v>19</v>
      </c>
    </row>
    <row r="1437" spans="1:16" x14ac:dyDescent="0.35">
      <c r="A1437" t="s">
        <v>1463</v>
      </c>
      <c r="B1437">
        <v>1436</v>
      </c>
      <c r="C1437">
        <v>19</v>
      </c>
      <c r="D1437" t="s">
        <v>16</v>
      </c>
      <c r="E1437" t="s">
        <v>30</v>
      </c>
      <c r="F1437">
        <v>2.42</v>
      </c>
      <c r="G1437">
        <v>3</v>
      </c>
      <c r="H1437">
        <v>85.9</v>
      </c>
      <c r="I1437">
        <v>0.85</v>
      </c>
      <c r="J1437" t="s">
        <v>18</v>
      </c>
      <c r="K1437">
        <v>28</v>
      </c>
      <c r="L1437">
        <v>27</v>
      </c>
      <c r="M1437">
        <v>0.64</v>
      </c>
      <c r="N1437">
        <v>15</v>
      </c>
      <c r="O1437">
        <v>0.86</v>
      </c>
      <c r="P1437" t="s">
        <v>19</v>
      </c>
    </row>
    <row r="1438" spans="1:16" x14ac:dyDescent="0.35">
      <c r="A1438" t="s">
        <v>1464</v>
      </c>
      <c r="B1438">
        <v>1437</v>
      </c>
      <c r="C1438">
        <v>23</v>
      </c>
      <c r="D1438" t="s">
        <v>21</v>
      </c>
      <c r="E1438" t="s">
        <v>46</v>
      </c>
      <c r="F1438">
        <v>2.59</v>
      </c>
      <c r="G1438">
        <v>3</v>
      </c>
      <c r="H1438">
        <v>61.2</v>
      </c>
      <c r="I1438">
        <v>0.73</v>
      </c>
      <c r="J1438" t="s">
        <v>18</v>
      </c>
      <c r="K1438">
        <v>38</v>
      </c>
      <c r="L1438">
        <v>31</v>
      </c>
      <c r="M1438">
        <v>0.95</v>
      </c>
      <c r="N1438">
        <v>15</v>
      </c>
      <c r="O1438">
        <v>0.63</v>
      </c>
      <c r="P1438" t="s">
        <v>19</v>
      </c>
    </row>
    <row r="1439" spans="1:16" x14ac:dyDescent="0.35">
      <c r="A1439" t="s">
        <v>1465</v>
      </c>
      <c r="B1439">
        <v>1438</v>
      </c>
      <c r="C1439">
        <v>22</v>
      </c>
      <c r="D1439" t="s">
        <v>16</v>
      </c>
      <c r="E1439" t="s">
        <v>30</v>
      </c>
      <c r="F1439">
        <v>3.82</v>
      </c>
      <c r="G1439">
        <v>3</v>
      </c>
      <c r="H1439">
        <v>84.7</v>
      </c>
      <c r="I1439">
        <v>0.99</v>
      </c>
      <c r="J1439" t="s">
        <v>23</v>
      </c>
      <c r="K1439">
        <v>17</v>
      </c>
      <c r="L1439">
        <v>67</v>
      </c>
      <c r="M1439">
        <v>0.9</v>
      </c>
      <c r="N1439">
        <v>5</v>
      </c>
      <c r="O1439">
        <v>0.7</v>
      </c>
      <c r="P1439" t="s">
        <v>41</v>
      </c>
    </row>
    <row r="1440" spans="1:16" x14ac:dyDescent="0.35">
      <c r="A1440" t="s">
        <v>1466</v>
      </c>
      <c r="B1440">
        <v>1439</v>
      </c>
      <c r="C1440">
        <v>25</v>
      </c>
      <c r="D1440" t="s">
        <v>16</v>
      </c>
      <c r="E1440" t="s">
        <v>30</v>
      </c>
      <c r="F1440">
        <v>3.09</v>
      </c>
      <c r="G1440">
        <v>6</v>
      </c>
      <c r="H1440">
        <v>80.400000000000006</v>
      </c>
      <c r="I1440">
        <v>0.68</v>
      </c>
      <c r="J1440" t="s">
        <v>28</v>
      </c>
      <c r="K1440">
        <v>11</v>
      </c>
      <c r="L1440">
        <v>62</v>
      </c>
      <c r="M1440">
        <v>0.79</v>
      </c>
      <c r="N1440">
        <v>3</v>
      </c>
      <c r="O1440">
        <v>0.99</v>
      </c>
      <c r="P1440" t="s">
        <v>19</v>
      </c>
    </row>
    <row r="1441" spans="1:16" x14ac:dyDescent="0.35">
      <c r="A1441" t="s">
        <v>1467</v>
      </c>
      <c r="B1441">
        <v>1440</v>
      </c>
      <c r="C1441">
        <v>20</v>
      </c>
      <c r="D1441" t="s">
        <v>21</v>
      </c>
      <c r="E1441" t="s">
        <v>17</v>
      </c>
      <c r="F1441">
        <v>3.47</v>
      </c>
      <c r="G1441">
        <v>4</v>
      </c>
      <c r="H1441">
        <v>81.8</v>
      </c>
      <c r="I1441">
        <v>0.74</v>
      </c>
      <c r="J1441" t="s">
        <v>18</v>
      </c>
      <c r="K1441">
        <v>18</v>
      </c>
      <c r="L1441">
        <v>10</v>
      </c>
      <c r="M1441">
        <v>0.83</v>
      </c>
      <c r="N1441">
        <v>2</v>
      </c>
      <c r="O1441">
        <v>0.62</v>
      </c>
      <c r="P1441" t="s">
        <v>19</v>
      </c>
    </row>
    <row r="1442" spans="1:16" x14ac:dyDescent="0.35">
      <c r="A1442" t="s">
        <v>1468</v>
      </c>
      <c r="B1442">
        <v>1441</v>
      </c>
      <c r="C1442">
        <v>18</v>
      </c>
      <c r="D1442" t="s">
        <v>16</v>
      </c>
      <c r="E1442" t="s">
        <v>17</v>
      </c>
      <c r="F1442">
        <v>2.69</v>
      </c>
      <c r="G1442">
        <v>4</v>
      </c>
      <c r="H1442">
        <v>74.400000000000006</v>
      </c>
      <c r="I1442">
        <v>0.74</v>
      </c>
      <c r="J1442" t="s">
        <v>28</v>
      </c>
      <c r="K1442">
        <v>21</v>
      </c>
      <c r="L1442">
        <v>70</v>
      </c>
      <c r="M1442">
        <v>0.66</v>
      </c>
      <c r="N1442">
        <v>5</v>
      </c>
      <c r="O1442">
        <v>0.69</v>
      </c>
      <c r="P1442" t="s">
        <v>19</v>
      </c>
    </row>
    <row r="1443" spans="1:16" x14ac:dyDescent="0.35">
      <c r="A1443" t="s">
        <v>1469</v>
      </c>
      <c r="B1443">
        <v>1442</v>
      </c>
      <c r="C1443">
        <v>19</v>
      </c>
      <c r="D1443" t="s">
        <v>21</v>
      </c>
      <c r="E1443" t="s">
        <v>30</v>
      </c>
      <c r="F1443">
        <v>2.82</v>
      </c>
      <c r="G1443">
        <v>6</v>
      </c>
      <c r="H1443">
        <v>63.3</v>
      </c>
      <c r="I1443">
        <v>0.6</v>
      </c>
      <c r="J1443" t="s">
        <v>23</v>
      </c>
      <c r="K1443">
        <v>14</v>
      </c>
      <c r="L1443">
        <v>40</v>
      </c>
      <c r="M1443">
        <v>0.79</v>
      </c>
      <c r="N1443">
        <v>3</v>
      </c>
      <c r="O1443">
        <v>0.65</v>
      </c>
      <c r="P1443" t="s">
        <v>19</v>
      </c>
    </row>
    <row r="1444" spans="1:16" x14ac:dyDescent="0.35">
      <c r="A1444" t="s">
        <v>1470</v>
      </c>
      <c r="B1444">
        <v>1443</v>
      </c>
      <c r="C1444">
        <v>21</v>
      </c>
      <c r="D1444" t="s">
        <v>21</v>
      </c>
      <c r="E1444" t="s">
        <v>46</v>
      </c>
      <c r="F1444">
        <v>2.25</v>
      </c>
      <c r="G1444">
        <v>3</v>
      </c>
      <c r="H1444">
        <v>67.7</v>
      </c>
      <c r="I1444">
        <v>0.94</v>
      </c>
      <c r="J1444" t="s">
        <v>28</v>
      </c>
      <c r="K1444">
        <v>0</v>
      </c>
      <c r="L1444">
        <v>40</v>
      </c>
      <c r="M1444">
        <v>0.65</v>
      </c>
      <c r="N1444">
        <v>17</v>
      </c>
      <c r="O1444">
        <v>0.55000000000000004</v>
      </c>
      <c r="P1444" t="s">
        <v>19</v>
      </c>
    </row>
    <row r="1445" spans="1:16" x14ac:dyDescent="0.35">
      <c r="A1445" t="s">
        <v>1471</v>
      </c>
      <c r="B1445">
        <v>1444</v>
      </c>
      <c r="C1445">
        <v>20</v>
      </c>
      <c r="D1445" t="s">
        <v>32</v>
      </c>
      <c r="E1445" t="s">
        <v>17</v>
      </c>
      <c r="F1445">
        <v>2.34</v>
      </c>
      <c r="G1445">
        <v>6</v>
      </c>
      <c r="H1445">
        <v>98</v>
      </c>
      <c r="I1445">
        <v>0.61</v>
      </c>
      <c r="J1445" t="s">
        <v>23</v>
      </c>
      <c r="K1445">
        <v>1</v>
      </c>
      <c r="L1445">
        <v>75</v>
      </c>
      <c r="M1445">
        <v>0.7</v>
      </c>
      <c r="N1445">
        <v>5</v>
      </c>
      <c r="O1445">
        <v>0.74</v>
      </c>
      <c r="P1445" t="s">
        <v>19</v>
      </c>
    </row>
    <row r="1446" spans="1:16" x14ac:dyDescent="0.35">
      <c r="A1446" t="s">
        <v>1472</v>
      </c>
      <c r="B1446">
        <v>1445</v>
      </c>
      <c r="C1446">
        <v>20</v>
      </c>
      <c r="D1446" t="s">
        <v>32</v>
      </c>
      <c r="E1446" t="s">
        <v>30</v>
      </c>
      <c r="F1446">
        <v>3.65</v>
      </c>
      <c r="G1446">
        <v>3</v>
      </c>
      <c r="H1446">
        <v>76.3</v>
      </c>
      <c r="I1446">
        <v>0.98</v>
      </c>
      <c r="J1446" t="s">
        <v>28</v>
      </c>
      <c r="K1446">
        <v>7</v>
      </c>
      <c r="L1446">
        <v>28</v>
      </c>
      <c r="M1446">
        <v>0.88</v>
      </c>
      <c r="N1446">
        <v>4</v>
      </c>
      <c r="O1446">
        <v>0.69</v>
      </c>
      <c r="P1446" t="s">
        <v>41</v>
      </c>
    </row>
    <row r="1447" spans="1:16" x14ac:dyDescent="0.35">
      <c r="A1447" t="s">
        <v>1473</v>
      </c>
      <c r="B1447">
        <v>1446</v>
      </c>
      <c r="C1447">
        <v>18</v>
      </c>
      <c r="D1447" t="s">
        <v>16</v>
      </c>
      <c r="E1447" t="s">
        <v>30</v>
      </c>
      <c r="F1447">
        <v>3.17</v>
      </c>
      <c r="G1447">
        <v>4</v>
      </c>
      <c r="H1447">
        <v>78.7</v>
      </c>
      <c r="I1447">
        <v>0.96</v>
      </c>
      <c r="J1447" t="s">
        <v>18</v>
      </c>
      <c r="K1447">
        <v>21</v>
      </c>
      <c r="L1447">
        <v>62</v>
      </c>
      <c r="M1447">
        <v>0.62</v>
      </c>
      <c r="N1447">
        <v>8</v>
      </c>
      <c r="O1447">
        <v>0.85</v>
      </c>
      <c r="P1447" t="s">
        <v>41</v>
      </c>
    </row>
    <row r="1448" spans="1:16" x14ac:dyDescent="0.35">
      <c r="A1448" t="s">
        <v>1474</v>
      </c>
      <c r="B1448">
        <v>1447</v>
      </c>
      <c r="C1448">
        <v>25</v>
      </c>
      <c r="D1448" t="s">
        <v>16</v>
      </c>
      <c r="E1448" t="s">
        <v>22</v>
      </c>
      <c r="F1448">
        <v>2.68</v>
      </c>
      <c r="G1448">
        <v>5</v>
      </c>
      <c r="H1448">
        <v>62.1</v>
      </c>
      <c r="I1448">
        <v>0.81</v>
      </c>
      <c r="J1448" t="s">
        <v>23</v>
      </c>
      <c r="K1448">
        <v>24</v>
      </c>
      <c r="L1448">
        <v>85</v>
      </c>
      <c r="M1448">
        <v>0.92</v>
      </c>
      <c r="N1448">
        <v>10</v>
      </c>
      <c r="O1448">
        <v>0.91</v>
      </c>
      <c r="P1448" t="s">
        <v>24</v>
      </c>
    </row>
    <row r="1449" spans="1:16" x14ac:dyDescent="0.35">
      <c r="A1449" t="s">
        <v>1475</v>
      </c>
      <c r="B1449">
        <v>1448</v>
      </c>
      <c r="C1449">
        <v>25</v>
      </c>
      <c r="D1449" t="s">
        <v>21</v>
      </c>
      <c r="E1449" t="s">
        <v>46</v>
      </c>
      <c r="F1449">
        <v>3.61</v>
      </c>
      <c r="G1449">
        <v>3</v>
      </c>
      <c r="H1449">
        <v>61.5</v>
      </c>
      <c r="I1449">
        <v>0.82</v>
      </c>
      <c r="J1449" t="s">
        <v>18</v>
      </c>
      <c r="K1449">
        <v>1</v>
      </c>
      <c r="L1449">
        <v>83</v>
      </c>
      <c r="M1449">
        <v>0.69</v>
      </c>
      <c r="N1449">
        <v>5</v>
      </c>
      <c r="O1449">
        <v>0.77</v>
      </c>
      <c r="P1449" t="s">
        <v>24</v>
      </c>
    </row>
    <row r="1450" spans="1:16" x14ac:dyDescent="0.35">
      <c r="A1450" t="s">
        <v>1476</v>
      </c>
      <c r="B1450">
        <v>1449</v>
      </c>
      <c r="C1450">
        <v>23</v>
      </c>
      <c r="D1450" t="s">
        <v>16</v>
      </c>
      <c r="E1450" t="s">
        <v>22</v>
      </c>
      <c r="F1450">
        <v>2.4900000000000002</v>
      </c>
      <c r="G1450">
        <v>4</v>
      </c>
      <c r="H1450">
        <v>88.7</v>
      </c>
      <c r="I1450">
        <v>0.86</v>
      </c>
      <c r="J1450" t="s">
        <v>23</v>
      </c>
      <c r="K1450">
        <v>8</v>
      </c>
      <c r="L1450">
        <v>31</v>
      </c>
      <c r="M1450">
        <v>0.77</v>
      </c>
      <c r="N1450">
        <v>15</v>
      </c>
      <c r="O1450">
        <v>0.52</v>
      </c>
      <c r="P1450" t="s">
        <v>19</v>
      </c>
    </row>
    <row r="1451" spans="1:16" x14ac:dyDescent="0.35">
      <c r="A1451" t="s">
        <v>1477</v>
      </c>
      <c r="B1451">
        <v>1450</v>
      </c>
      <c r="C1451">
        <v>21</v>
      </c>
      <c r="D1451" t="s">
        <v>21</v>
      </c>
      <c r="E1451" t="s">
        <v>46</v>
      </c>
      <c r="F1451">
        <v>3.95</v>
      </c>
      <c r="G1451">
        <v>4</v>
      </c>
      <c r="H1451">
        <v>81.5</v>
      </c>
      <c r="I1451">
        <v>0.75</v>
      </c>
      <c r="J1451" t="s">
        <v>28</v>
      </c>
      <c r="K1451">
        <v>8</v>
      </c>
      <c r="L1451">
        <v>32</v>
      </c>
      <c r="M1451">
        <v>0.97</v>
      </c>
      <c r="N1451">
        <v>18</v>
      </c>
      <c r="O1451">
        <v>0.81</v>
      </c>
      <c r="P1451" t="s">
        <v>24</v>
      </c>
    </row>
    <row r="1452" spans="1:16" x14ac:dyDescent="0.35">
      <c r="A1452" t="s">
        <v>1478</v>
      </c>
      <c r="B1452">
        <v>1451</v>
      </c>
      <c r="C1452">
        <v>25</v>
      </c>
      <c r="D1452" t="s">
        <v>21</v>
      </c>
      <c r="E1452" t="s">
        <v>17</v>
      </c>
      <c r="F1452">
        <v>2.69</v>
      </c>
      <c r="G1452">
        <v>5</v>
      </c>
      <c r="H1452">
        <v>80.3</v>
      </c>
      <c r="I1452">
        <v>0.86</v>
      </c>
      <c r="J1452" t="s">
        <v>28</v>
      </c>
      <c r="K1452">
        <v>12</v>
      </c>
      <c r="L1452">
        <v>24</v>
      </c>
      <c r="M1452">
        <v>0.84</v>
      </c>
      <c r="N1452">
        <v>10</v>
      </c>
      <c r="O1452">
        <v>0.53</v>
      </c>
      <c r="P1452" t="s">
        <v>24</v>
      </c>
    </row>
    <row r="1453" spans="1:16" x14ac:dyDescent="0.35">
      <c r="A1453" t="s">
        <v>1479</v>
      </c>
      <c r="B1453">
        <v>1452</v>
      </c>
      <c r="C1453">
        <v>22</v>
      </c>
      <c r="D1453" t="s">
        <v>16</v>
      </c>
      <c r="E1453" t="s">
        <v>46</v>
      </c>
      <c r="F1453">
        <v>2.67</v>
      </c>
      <c r="G1453">
        <v>4</v>
      </c>
      <c r="H1453">
        <v>69.7</v>
      </c>
      <c r="I1453">
        <v>0.62</v>
      </c>
      <c r="J1453" t="s">
        <v>23</v>
      </c>
      <c r="K1453">
        <v>5</v>
      </c>
      <c r="L1453">
        <v>35</v>
      </c>
      <c r="M1453">
        <v>0.82</v>
      </c>
      <c r="N1453">
        <v>14</v>
      </c>
      <c r="O1453">
        <v>0.81</v>
      </c>
      <c r="P1453" t="s">
        <v>19</v>
      </c>
    </row>
    <row r="1454" spans="1:16" x14ac:dyDescent="0.35">
      <c r="A1454" t="s">
        <v>1480</v>
      </c>
      <c r="B1454">
        <v>1453</v>
      </c>
      <c r="C1454">
        <v>25</v>
      </c>
      <c r="D1454" t="s">
        <v>21</v>
      </c>
      <c r="E1454" t="s">
        <v>30</v>
      </c>
      <c r="F1454">
        <v>2.62</v>
      </c>
      <c r="G1454">
        <v>4</v>
      </c>
      <c r="H1454">
        <v>89.8</v>
      </c>
      <c r="I1454">
        <v>0.62</v>
      </c>
      <c r="J1454" t="s">
        <v>23</v>
      </c>
      <c r="K1454">
        <v>29</v>
      </c>
      <c r="L1454">
        <v>12</v>
      </c>
      <c r="M1454">
        <v>0.86</v>
      </c>
      <c r="N1454">
        <v>8</v>
      </c>
      <c r="O1454">
        <v>0.84</v>
      </c>
      <c r="P1454" t="s">
        <v>19</v>
      </c>
    </row>
    <row r="1455" spans="1:16" x14ac:dyDescent="0.35">
      <c r="A1455" t="s">
        <v>1481</v>
      </c>
      <c r="B1455">
        <v>1454</v>
      </c>
      <c r="C1455">
        <v>20</v>
      </c>
      <c r="D1455" t="s">
        <v>32</v>
      </c>
      <c r="E1455" t="s">
        <v>30</v>
      </c>
      <c r="F1455">
        <v>2.2400000000000002</v>
      </c>
      <c r="G1455">
        <v>3</v>
      </c>
      <c r="H1455">
        <v>66.7</v>
      </c>
      <c r="I1455">
        <v>0.78</v>
      </c>
      <c r="J1455" t="s">
        <v>23</v>
      </c>
      <c r="K1455">
        <v>14</v>
      </c>
      <c r="L1455">
        <v>29</v>
      </c>
      <c r="M1455">
        <v>0.96</v>
      </c>
      <c r="N1455">
        <v>18</v>
      </c>
      <c r="O1455">
        <v>0.6</v>
      </c>
      <c r="P1455" t="s">
        <v>19</v>
      </c>
    </row>
    <row r="1456" spans="1:16" x14ac:dyDescent="0.35">
      <c r="A1456" t="s">
        <v>1482</v>
      </c>
      <c r="B1456">
        <v>1455</v>
      </c>
      <c r="C1456">
        <v>18</v>
      </c>
      <c r="D1456" t="s">
        <v>16</v>
      </c>
      <c r="E1456" t="s">
        <v>46</v>
      </c>
      <c r="F1456">
        <v>2.2200000000000002</v>
      </c>
      <c r="G1456">
        <v>3</v>
      </c>
      <c r="H1456">
        <v>67.599999999999994</v>
      </c>
      <c r="I1456">
        <v>0.82</v>
      </c>
      <c r="J1456" t="s">
        <v>28</v>
      </c>
      <c r="K1456">
        <v>14</v>
      </c>
      <c r="L1456">
        <v>49</v>
      </c>
      <c r="M1456">
        <v>0.62</v>
      </c>
      <c r="N1456">
        <v>18</v>
      </c>
      <c r="O1456">
        <v>0.91</v>
      </c>
      <c r="P1456" t="s">
        <v>19</v>
      </c>
    </row>
    <row r="1457" spans="1:16" x14ac:dyDescent="0.35">
      <c r="A1457" t="s">
        <v>1483</v>
      </c>
      <c r="B1457">
        <v>1456</v>
      </c>
      <c r="C1457">
        <v>22</v>
      </c>
      <c r="D1457" t="s">
        <v>32</v>
      </c>
      <c r="E1457" t="s">
        <v>46</v>
      </c>
      <c r="F1457">
        <v>3.3</v>
      </c>
      <c r="G1457">
        <v>5</v>
      </c>
      <c r="H1457">
        <v>78.400000000000006</v>
      </c>
      <c r="I1457">
        <v>0.96</v>
      </c>
      <c r="J1457" t="s">
        <v>23</v>
      </c>
      <c r="K1457">
        <v>6</v>
      </c>
      <c r="L1457">
        <v>48</v>
      </c>
      <c r="M1457">
        <v>0.81</v>
      </c>
      <c r="N1457">
        <v>8</v>
      </c>
      <c r="O1457">
        <v>0.96</v>
      </c>
      <c r="P1457" t="s">
        <v>41</v>
      </c>
    </row>
    <row r="1458" spans="1:16" x14ac:dyDescent="0.35">
      <c r="A1458" t="s">
        <v>1484</v>
      </c>
      <c r="B1458">
        <v>1457</v>
      </c>
      <c r="C1458">
        <v>23</v>
      </c>
      <c r="D1458" t="s">
        <v>16</v>
      </c>
      <c r="E1458" t="s">
        <v>46</v>
      </c>
      <c r="F1458">
        <v>3.75</v>
      </c>
      <c r="G1458">
        <v>5</v>
      </c>
      <c r="H1458">
        <v>71.5</v>
      </c>
      <c r="I1458">
        <v>0.64</v>
      </c>
      <c r="J1458" t="s">
        <v>23</v>
      </c>
      <c r="K1458">
        <v>10</v>
      </c>
      <c r="L1458">
        <v>81</v>
      </c>
      <c r="M1458">
        <v>0.7</v>
      </c>
      <c r="N1458">
        <v>3</v>
      </c>
      <c r="O1458">
        <v>0.91</v>
      </c>
      <c r="P1458" t="s">
        <v>19</v>
      </c>
    </row>
    <row r="1459" spans="1:16" x14ac:dyDescent="0.35">
      <c r="A1459" t="s">
        <v>1485</v>
      </c>
      <c r="B1459">
        <v>1458</v>
      </c>
      <c r="C1459">
        <v>21</v>
      </c>
      <c r="D1459" t="s">
        <v>21</v>
      </c>
      <c r="E1459" t="s">
        <v>22</v>
      </c>
      <c r="F1459">
        <v>3.58</v>
      </c>
      <c r="G1459">
        <v>4</v>
      </c>
      <c r="H1459">
        <v>69.900000000000006</v>
      </c>
      <c r="I1459">
        <v>0.93</v>
      </c>
      <c r="J1459" t="s">
        <v>18</v>
      </c>
      <c r="K1459">
        <v>39</v>
      </c>
      <c r="L1459">
        <v>27</v>
      </c>
      <c r="M1459">
        <v>0.51</v>
      </c>
      <c r="N1459">
        <v>9</v>
      </c>
      <c r="O1459">
        <v>0.65</v>
      </c>
      <c r="P1459" t="s">
        <v>41</v>
      </c>
    </row>
    <row r="1460" spans="1:16" x14ac:dyDescent="0.35">
      <c r="A1460" t="s">
        <v>1486</v>
      </c>
      <c r="B1460">
        <v>1459</v>
      </c>
      <c r="C1460">
        <v>23</v>
      </c>
      <c r="D1460" t="s">
        <v>16</v>
      </c>
      <c r="E1460" t="s">
        <v>46</v>
      </c>
      <c r="F1460">
        <v>2.2799999999999998</v>
      </c>
      <c r="G1460">
        <v>3</v>
      </c>
      <c r="H1460">
        <v>85.8</v>
      </c>
      <c r="I1460">
        <v>0.68</v>
      </c>
      <c r="J1460" t="s">
        <v>23</v>
      </c>
      <c r="K1460">
        <v>37</v>
      </c>
      <c r="L1460">
        <v>50</v>
      </c>
      <c r="M1460">
        <v>0.56000000000000005</v>
      </c>
      <c r="N1460">
        <v>8</v>
      </c>
      <c r="O1460">
        <v>0.79</v>
      </c>
      <c r="P1460" t="s">
        <v>19</v>
      </c>
    </row>
    <row r="1461" spans="1:16" x14ac:dyDescent="0.35">
      <c r="A1461" t="s">
        <v>1487</v>
      </c>
      <c r="B1461">
        <v>1460</v>
      </c>
      <c r="C1461">
        <v>20</v>
      </c>
      <c r="D1461" t="s">
        <v>32</v>
      </c>
      <c r="E1461" t="s">
        <v>17</v>
      </c>
      <c r="F1461">
        <v>3.09</v>
      </c>
      <c r="G1461">
        <v>5</v>
      </c>
      <c r="H1461">
        <v>86</v>
      </c>
      <c r="I1461">
        <v>0.76</v>
      </c>
      <c r="J1461" t="s">
        <v>18</v>
      </c>
      <c r="K1461">
        <v>39</v>
      </c>
      <c r="L1461">
        <v>79</v>
      </c>
      <c r="M1461">
        <v>0.66</v>
      </c>
      <c r="N1461">
        <v>18</v>
      </c>
      <c r="O1461">
        <v>0.96</v>
      </c>
      <c r="P1461" t="s">
        <v>24</v>
      </c>
    </row>
    <row r="1462" spans="1:16" x14ac:dyDescent="0.35">
      <c r="A1462" t="s">
        <v>1488</v>
      </c>
      <c r="B1462">
        <v>1461</v>
      </c>
      <c r="C1462">
        <v>22</v>
      </c>
      <c r="D1462" t="s">
        <v>21</v>
      </c>
      <c r="E1462" t="s">
        <v>22</v>
      </c>
      <c r="F1462">
        <v>2.21</v>
      </c>
      <c r="G1462">
        <v>5</v>
      </c>
      <c r="H1462">
        <v>93</v>
      </c>
      <c r="I1462">
        <v>0.73</v>
      </c>
      <c r="J1462" t="s">
        <v>18</v>
      </c>
      <c r="K1462">
        <v>1</v>
      </c>
      <c r="L1462">
        <v>36</v>
      </c>
      <c r="M1462">
        <v>0.78</v>
      </c>
      <c r="N1462">
        <v>14</v>
      </c>
      <c r="O1462">
        <v>0.66</v>
      </c>
      <c r="P1462" t="s">
        <v>19</v>
      </c>
    </row>
    <row r="1463" spans="1:16" x14ac:dyDescent="0.35">
      <c r="A1463" t="s">
        <v>1489</v>
      </c>
      <c r="B1463">
        <v>1462</v>
      </c>
      <c r="C1463">
        <v>22</v>
      </c>
      <c r="D1463" t="s">
        <v>16</v>
      </c>
      <c r="E1463" t="s">
        <v>22</v>
      </c>
      <c r="F1463">
        <v>2.09</v>
      </c>
      <c r="G1463">
        <v>6</v>
      </c>
      <c r="H1463">
        <v>76.7</v>
      </c>
      <c r="I1463">
        <v>0.76</v>
      </c>
      <c r="J1463" t="s">
        <v>18</v>
      </c>
      <c r="K1463">
        <v>38</v>
      </c>
      <c r="L1463">
        <v>24</v>
      </c>
      <c r="M1463">
        <v>0.94</v>
      </c>
      <c r="N1463">
        <v>18</v>
      </c>
      <c r="O1463">
        <v>0.91</v>
      </c>
      <c r="P1463" t="s">
        <v>19</v>
      </c>
    </row>
    <row r="1464" spans="1:16" x14ac:dyDescent="0.35">
      <c r="A1464" t="s">
        <v>1490</v>
      </c>
      <c r="B1464">
        <v>1463</v>
      </c>
      <c r="C1464">
        <v>22</v>
      </c>
      <c r="D1464" t="s">
        <v>16</v>
      </c>
      <c r="E1464" t="s">
        <v>46</v>
      </c>
      <c r="F1464">
        <v>3.31</v>
      </c>
      <c r="G1464">
        <v>5</v>
      </c>
      <c r="H1464">
        <v>62.9</v>
      </c>
      <c r="I1464">
        <v>0.66</v>
      </c>
      <c r="J1464" t="s">
        <v>28</v>
      </c>
      <c r="K1464">
        <v>9</v>
      </c>
      <c r="L1464">
        <v>46</v>
      </c>
      <c r="M1464">
        <v>0.9</v>
      </c>
      <c r="N1464">
        <v>1</v>
      </c>
      <c r="O1464">
        <v>0.5</v>
      </c>
      <c r="P1464" t="s">
        <v>19</v>
      </c>
    </row>
    <row r="1465" spans="1:16" x14ac:dyDescent="0.35">
      <c r="A1465" t="s">
        <v>1491</v>
      </c>
      <c r="B1465">
        <v>1464</v>
      </c>
      <c r="C1465">
        <v>20</v>
      </c>
      <c r="D1465" t="s">
        <v>16</v>
      </c>
      <c r="E1465" t="s">
        <v>17</v>
      </c>
      <c r="F1465">
        <v>3.07</v>
      </c>
      <c r="G1465">
        <v>4</v>
      </c>
      <c r="H1465">
        <v>70.900000000000006</v>
      </c>
      <c r="I1465">
        <v>0.8</v>
      </c>
      <c r="J1465" t="s">
        <v>18</v>
      </c>
      <c r="K1465">
        <v>16</v>
      </c>
      <c r="L1465">
        <v>67</v>
      </c>
      <c r="M1465">
        <v>0.78</v>
      </c>
      <c r="N1465">
        <v>9</v>
      </c>
      <c r="O1465">
        <v>0.5</v>
      </c>
      <c r="P1465" t="s">
        <v>24</v>
      </c>
    </row>
    <row r="1466" spans="1:16" x14ac:dyDescent="0.35">
      <c r="A1466" t="s">
        <v>1492</v>
      </c>
      <c r="B1466">
        <v>1465</v>
      </c>
      <c r="C1466">
        <v>20</v>
      </c>
      <c r="D1466" t="s">
        <v>32</v>
      </c>
      <c r="E1466" t="s">
        <v>22</v>
      </c>
      <c r="F1466">
        <v>2.16</v>
      </c>
      <c r="G1466">
        <v>3</v>
      </c>
      <c r="H1466">
        <v>99.2</v>
      </c>
      <c r="I1466">
        <v>0.92</v>
      </c>
      <c r="J1466" t="s">
        <v>23</v>
      </c>
      <c r="K1466">
        <v>6</v>
      </c>
      <c r="L1466">
        <v>14</v>
      </c>
      <c r="M1466">
        <v>0.54</v>
      </c>
      <c r="N1466">
        <v>18</v>
      </c>
      <c r="O1466">
        <v>0.88</v>
      </c>
      <c r="P1466" t="s">
        <v>19</v>
      </c>
    </row>
    <row r="1467" spans="1:16" x14ac:dyDescent="0.35">
      <c r="A1467" t="s">
        <v>1493</v>
      </c>
      <c r="B1467">
        <v>1466</v>
      </c>
      <c r="C1467">
        <v>23</v>
      </c>
      <c r="D1467" t="s">
        <v>32</v>
      </c>
      <c r="E1467" t="s">
        <v>30</v>
      </c>
      <c r="F1467">
        <v>2.0699999999999998</v>
      </c>
      <c r="G1467">
        <v>5</v>
      </c>
      <c r="H1467">
        <v>83.9</v>
      </c>
      <c r="I1467">
        <v>0.78</v>
      </c>
      <c r="J1467" t="s">
        <v>28</v>
      </c>
      <c r="K1467">
        <v>39</v>
      </c>
      <c r="L1467">
        <v>82</v>
      </c>
      <c r="M1467">
        <v>0.64</v>
      </c>
      <c r="N1467">
        <v>16</v>
      </c>
      <c r="O1467">
        <v>0.88</v>
      </c>
      <c r="P1467" t="s">
        <v>19</v>
      </c>
    </row>
    <row r="1468" spans="1:16" x14ac:dyDescent="0.35">
      <c r="A1468" t="s">
        <v>1494</v>
      </c>
      <c r="B1468">
        <v>1467</v>
      </c>
      <c r="C1468">
        <v>19</v>
      </c>
      <c r="D1468" t="s">
        <v>16</v>
      </c>
      <c r="E1468" t="s">
        <v>22</v>
      </c>
      <c r="F1468">
        <v>3.98</v>
      </c>
      <c r="G1468">
        <v>6</v>
      </c>
      <c r="H1468">
        <v>88.4</v>
      </c>
      <c r="I1468">
        <v>0.8</v>
      </c>
      <c r="J1468" t="s">
        <v>28</v>
      </c>
      <c r="K1468">
        <v>38</v>
      </c>
      <c r="L1468">
        <v>16</v>
      </c>
      <c r="M1468">
        <v>0.68</v>
      </c>
      <c r="N1468">
        <v>19</v>
      </c>
      <c r="O1468">
        <v>0.89</v>
      </c>
      <c r="P1468" t="s">
        <v>24</v>
      </c>
    </row>
    <row r="1469" spans="1:16" x14ac:dyDescent="0.35">
      <c r="A1469" t="s">
        <v>1495</v>
      </c>
      <c r="B1469">
        <v>1468</v>
      </c>
      <c r="C1469">
        <v>23</v>
      </c>
      <c r="D1469" t="s">
        <v>21</v>
      </c>
      <c r="E1469" t="s">
        <v>46</v>
      </c>
      <c r="F1469">
        <v>2.06</v>
      </c>
      <c r="G1469">
        <v>3</v>
      </c>
      <c r="H1469">
        <v>60.3</v>
      </c>
      <c r="I1469">
        <v>0.94</v>
      </c>
      <c r="J1469" t="s">
        <v>28</v>
      </c>
      <c r="K1469">
        <v>3</v>
      </c>
      <c r="L1469">
        <v>50</v>
      </c>
      <c r="M1469">
        <v>0.81</v>
      </c>
      <c r="N1469">
        <v>1</v>
      </c>
      <c r="O1469">
        <v>0.97</v>
      </c>
      <c r="P1469" t="s">
        <v>19</v>
      </c>
    </row>
    <row r="1470" spans="1:16" x14ac:dyDescent="0.35">
      <c r="A1470" t="s">
        <v>1496</v>
      </c>
      <c r="B1470">
        <v>1469</v>
      </c>
      <c r="C1470">
        <v>21</v>
      </c>
      <c r="D1470" t="s">
        <v>21</v>
      </c>
      <c r="E1470" t="s">
        <v>17</v>
      </c>
      <c r="F1470">
        <v>2.89</v>
      </c>
      <c r="G1470">
        <v>5</v>
      </c>
      <c r="H1470">
        <v>80.7</v>
      </c>
      <c r="I1470">
        <v>0.88</v>
      </c>
      <c r="J1470" t="s">
        <v>28</v>
      </c>
      <c r="K1470">
        <v>34</v>
      </c>
      <c r="L1470">
        <v>19</v>
      </c>
      <c r="M1470">
        <v>0.53</v>
      </c>
      <c r="N1470">
        <v>18</v>
      </c>
      <c r="O1470">
        <v>0.56000000000000005</v>
      </c>
      <c r="P1470" t="s">
        <v>24</v>
      </c>
    </row>
    <row r="1471" spans="1:16" x14ac:dyDescent="0.35">
      <c r="A1471" t="s">
        <v>1497</v>
      </c>
      <c r="B1471">
        <v>1470</v>
      </c>
      <c r="C1471">
        <v>18</v>
      </c>
      <c r="D1471" t="s">
        <v>32</v>
      </c>
      <c r="E1471" t="s">
        <v>46</v>
      </c>
      <c r="F1471">
        <v>3.01</v>
      </c>
      <c r="G1471">
        <v>6</v>
      </c>
      <c r="H1471">
        <v>61.5</v>
      </c>
      <c r="I1471">
        <v>0.8</v>
      </c>
      <c r="J1471" t="s">
        <v>28</v>
      </c>
      <c r="K1471">
        <v>35</v>
      </c>
      <c r="L1471">
        <v>71</v>
      </c>
      <c r="M1471">
        <v>0.77</v>
      </c>
      <c r="N1471">
        <v>16</v>
      </c>
      <c r="O1471">
        <v>0.62</v>
      </c>
      <c r="P1471" t="s">
        <v>24</v>
      </c>
    </row>
    <row r="1472" spans="1:16" x14ac:dyDescent="0.35">
      <c r="A1472" t="s">
        <v>1498</v>
      </c>
      <c r="B1472">
        <v>1471</v>
      </c>
      <c r="C1472">
        <v>22</v>
      </c>
      <c r="D1472" t="s">
        <v>21</v>
      </c>
      <c r="E1472" t="s">
        <v>30</v>
      </c>
      <c r="F1472">
        <v>2.23</v>
      </c>
      <c r="G1472">
        <v>5</v>
      </c>
      <c r="H1472">
        <v>82.8</v>
      </c>
      <c r="I1472">
        <v>0.7</v>
      </c>
      <c r="J1472" t="s">
        <v>28</v>
      </c>
      <c r="K1472">
        <v>30</v>
      </c>
      <c r="L1472">
        <v>35</v>
      </c>
      <c r="M1472">
        <v>0.95</v>
      </c>
      <c r="N1472">
        <v>17</v>
      </c>
      <c r="O1472">
        <v>0.95</v>
      </c>
      <c r="P1472" t="s">
        <v>19</v>
      </c>
    </row>
    <row r="1473" spans="1:16" x14ac:dyDescent="0.35">
      <c r="A1473" t="s">
        <v>1499</v>
      </c>
      <c r="B1473">
        <v>1472</v>
      </c>
      <c r="C1473">
        <v>19</v>
      </c>
      <c r="D1473" t="s">
        <v>32</v>
      </c>
      <c r="E1473" t="s">
        <v>30</v>
      </c>
      <c r="F1473">
        <v>2.34</v>
      </c>
      <c r="G1473">
        <v>3</v>
      </c>
      <c r="H1473">
        <v>96.8</v>
      </c>
      <c r="I1473">
        <v>0.95</v>
      </c>
      <c r="J1473" t="s">
        <v>28</v>
      </c>
      <c r="K1473">
        <v>24</v>
      </c>
      <c r="L1473">
        <v>77</v>
      </c>
      <c r="M1473">
        <v>0.85</v>
      </c>
      <c r="N1473">
        <v>16</v>
      </c>
      <c r="O1473">
        <v>0.59</v>
      </c>
      <c r="P1473" t="s">
        <v>19</v>
      </c>
    </row>
    <row r="1474" spans="1:16" x14ac:dyDescent="0.35">
      <c r="A1474" t="s">
        <v>1500</v>
      </c>
      <c r="B1474">
        <v>1473</v>
      </c>
      <c r="C1474">
        <v>18</v>
      </c>
      <c r="D1474" t="s">
        <v>16</v>
      </c>
      <c r="E1474" t="s">
        <v>30</v>
      </c>
      <c r="F1474">
        <v>2.7</v>
      </c>
      <c r="G1474">
        <v>3</v>
      </c>
      <c r="H1474">
        <v>98.7</v>
      </c>
      <c r="I1474">
        <v>0.83</v>
      </c>
      <c r="J1474" t="s">
        <v>18</v>
      </c>
      <c r="K1474">
        <v>12</v>
      </c>
      <c r="L1474">
        <v>33</v>
      </c>
      <c r="M1474">
        <v>0.9</v>
      </c>
      <c r="N1474">
        <v>1</v>
      </c>
      <c r="O1474">
        <v>0.84</v>
      </c>
      <c r="P1474" t="s">
        <v>24</v>
      </c>
    </row>
    <row r="1475" spans="1:16" x14ac:dyDescent="0.35">
      <c r="A1475" t="s">
        <v>1501</v>
      </c>
      <c r="B1475">
        <v>1474</v>
      </c>
      <c r="C1475">
        <v>19</v>
      </c>
      <c r="D1475" t="s">
        <v>32</v>
      </c>
      <c r="E1475" t="s">
        <v>46</v>
      </c>
      <c r="F1475">
        <v>3.52</v>
      </c>
      <c r="G1475">
        <v>3</v>
      </c>
      <c r="H1475">
        <v>81.599999999999994</v>
      </c>
      <c r="I1475">
        <v>0.69</v>
      </c>
      <c r="J1475" t="s">
        <v>23</v>
      </c>
      <c r="K1475">
        <v>17</v>
      </c>
      <c r="L1475">
        <v>87</v>
      </c>
      <c r="M1475">
        <v>0.84</v>
      </c>
      <c r="N1475">
        <v>18</v>
      </c>
      <c r="O1475">
        <v>0.77</v>
      </c>
      <c r="P1475" t="s">
        <v>19</v>
      </c>
    </row>
    <row r="1476" spans="1:16" x14ac:dyDescent="0.35">
      <c r="A1476" t="s">
        <v>1502</v>
      </c>
      <c r="B1476">
        <v>1475</v>
      </c>
      <c r="C1476">
        <v>25</v>
      </c>
      <c r="D1476" t="s">
        <v>32</v>
      </c>
      <c r="E1476" t="s">
        <v>22</v>
      </c>
      <c r="F1476">
        <v>3.01</v>
      </c>
      <c r="G1476">
        <v>4</v>
      </c>
      <c r="H1476">
        <v>78.3</v>
      </c>
      <c r="I1476">
        <v>0.71</v>
      </c>
      <c r="J1476" t="s">
        <v>23</v>
      </c>
      <c r="K1476">
        <v>20</v>
      </c>
      <c r="L1476">
        <v>50</v>
      </c>
      <c r="M1476">
        <v>0.6</v>
      </c>
      <c r="N1476">
        <v>0</v>
      </c>
      <c r="O1476">
        <v>0.54</v>
      </c>
      <c r="P1476" t="s">
        <v>19</v>
      </c>
    </row>
    <row r="1477" spans="1:16" x14ac:dyDescent="0.35">
      <c r="A1477" t="s">
        <v>1503</v>
      </c>
      <c r="B1477">
        <v>1476</v>
      </c>
      <c r="C1477">
        <v>25</v>
      </c>
      <c r="D1477" t="s">
        <v>16</v>
      </c>
      <c r="E1477" t="s">
        <v>46</v>
      </c>
      <c r="F1477">
        <v>3.28</v>
      </c>
      <c r="G1477">
        <v>5</v>
      </c>
      <c r="H1477">
        <v>97.8</v>
      </c>
      <c r="I1477">
        <v>0.92</v>
      </c>
      <c r="J1477" t="s">
        <v>18</v>
      </c>
      <c r="K1477">
        <v>0</v>
      </c>
      <c r="L1477">
        <v>74</v>
      </c>
      <c r="M1477">
        <v>0.56000000000000005</v>
      </c>
      <c r="N1477">
        <v>10</v>
      </c>
      <c r="O1477">
        <v>0.64</v>
      </c>
      <c r="P1477" t="s">
        <v>41</v>
      </c>
    </row>
    <row r="1478" spans="1:16" x14ac:dyDescent="0.35">
      <c r="A1478" t="s">
        <v>1504</v>
      </c>
      <c r="B1478">
        <v>1477</v>
      </c>
      <c r="C1478">
        <v>24</v>
      </c>
      <c r="D1478" t="s">
        <v>21</v>
      </c>
      <c r="E1478" t="s">
        <v>17</v>
      </c>
      <c r="F1478">
        <v>3.97</v>
      </c>
      <c r="G1478">
        <v>4</v>
      </c>
      <c r="H1478">
        <v>86.9</v>
      </c>
      <c r="I1478">
        <v>0.62</v>
      </c>
      <c r="J1478" t="s">
        <v>18</v>
      </c>
      <c r="K1478">
        <v>35</v>
      </c>
      <c r="L1478">
        <v>26</v>
      </c>
      <c r="M1478">
        <v>0.91</v>
      </c>
      <c r="N1478">
        <v>9</v>
      </c>
      <c r="O1478">
        <v>0.76</v>
      </c>
      <c r="P1478" t="s">
        <v>19</v>
      </c>
    </row>
    <row r="1479" spans="1:16" x14ac:dyDescent="0.35">
      <c r="A1479" t="s">
        <v>1505</v>
      </c>
      <c r="B1479">
        <v>1478</v>
      </c>
      <c r="C1479">
        <v>25</v>
      </c>
      <c r="D1479" t="s">
        <v>32</v>
      </c>
      <c r="E1479" t="s">
        <v>22</v>
      </c>
      <c r="F1479">
        <v>3.54</v>
      </c>
      <c r="G1479">
        <v>3</v>
      </c>
      <c r="H1479">
        <v>62.6</v>
      </c>
      <c r="I1479">
        <v>1</v>
      </c>
      <c r="J1479" t="s">
        <v>28</v>
      </c>
      <c r="K1479">
        <v>7</v>
      </c>
      <c r="L1479">
        <v>33</v>
      </c>
      <c r="M1479">
        <v>0.85</v>
      </c>
      <c r="N1479">
        <v>4</v>
      </c>
      <c r="O1479">
        <v>0.93</v>
      </c>
      <c r="P1479" t="s">
        <v>41</v>
      </c>
    </row>
    <row r="1480" spans="1:16" x14ac:dyDescent="0.35">
      <c r="A1480" t="s">
        <v>1506</v>
      </c>
      <c r="B1480">
        <v>1479</v>
      </c>
      <c r="C1480">
        <v>23</v>
      </c>
      <c r="D1480" t="s">
        <v>32</v>
      </c>
      <c r="E1480" t="s">
        <v>30</v>
      </c>
      <c r="F1480">
        <v>2.87</v>
      </c>
      <c r="G1480">
        <v>6</v>
      </c>
      <c r="H1480">
        <v>78.599999999999994</v>
      </c>
      <c r="I1480">
        <v>0.65</v>
      </c>
      <c r="J1480" t="s">
        <v>28</v>
      </c>
      <c r="K1480">
        <v>20</v>
      </c>
      <c r="L1480">
        <v>36</v>
      </c>
      <c r="M1480">
        <v>0.79</v>
      </c>
      <c r="N1480">
        <v>15</v>
      </c>
      <c r="O1480">
        <v>0.85</v>
      </c>
      <c r="P1480" t="s">
        <v>19</v>
      </c>
    </row>
    <row r="1481" spans="1:16" x14ac:dyDescent="0.35">
      <c r="A1481" t="s">
        <v>1507</v>
      </c>
      <c r="B1481">
        <v>1480</v>
      </c>
      <c r="C1481">
        <v>25</v>
      </c>
      <c r="D1481" t="s">
        <v>16</v>
      </c>
      <c r="E1481" t="s">
        <v>46</v>
      </c>
      <c r="F1481">
        <v>2.89</v>
      </c>
      <c r="G1481">
        <v>5</v>
      </c>
      <c r="H1481">
        <v>69.599999999999994</v>
      </c>
      <c r="I1481">
        <v>0.92</v>
      </c>
      <c r="J1481" t="s">
        <v>18</v>
      </c>
      <c r="K1481">
        <v>20</v>
      </c>
      <c r="L1481">
        <v>16</v>
      </c>
      <c r="M1481">
        <v>0.59</v>
      </c>
      <c r="N1481">
        <v>4</v>
      </c>
      <c r="O1481">
        <v>0.81</v>
      </c>
      <c r="P1481" t="s">
        <v>24</v>
      </c>
    </row>
    <row r="1482" spans="1:16" x14ac:dyDescent="0.35">
      <c r="A1482" t="s">
        <v>1508</v>
      </c>
      <c r="B1482">
        <v>1481</v>
      </c>
      <c r="C1482">
        <v>20</v>
      </c>
      <c r="D1482" t="s">
        <v>21</v>
      </c>
      <c r="E1482" t="s">
        <v>30</v>
      </c>
      <c r="F1482">
        <v>3.24</v>
      </c>
      <c r="G1482">
        <v>4</v>
      </c>
      <c r="H1482">
        <v>78.8</v>
      </c>
      <c r="I1482">
        <v>0.76</v>
      </c>
      <c r="J1482" t="s">
        <v>28</v>
      </c>
      <c r="K1482">
        <v>26</v>
      </c>
      <c r="L1482">
        <v>82</v>
      </c>
      <c r="M1482">
        <v>0.8</v>
      </c>
      <c r="N1482">
        <v>11</v>
      </c>
      <c r="O1482">
        <v>0.75</v>
      </c>
      <c r="P1482" t="s">
        <v>24</v>
      </c>
    </row>
    <row r="1483" spans="1:16" x14ac:dyDescent="0.35">
      <c r="A1483" t="s">
        <v>1509</v>
      </c>
      <c r="B1483">
        <v>1482</v>
      </c>
      <c r="C1483">
        <v>22</v>
      </c>
      <c r="D1483" t="s">
        <v>32</v>
      </c>
      <c r="E1483" t="s">
        <v>30</v>
      </c>
      <c r="F1483">
        <v>3.33</v>
      </c>
      <c r="G1483">
        <v>5</v>
      </c>
      <c r="H1483">
        <v>78.2</v>
      </c>
      <c r="I1483">
        <v>0.8</v>
      </c>
      <c r="J1483" t="s">
        <v>23</v>
      </c>
      <c r="K1483">
        <v>18</v>
      </c>
      <c r="L1483">
        <v>21</v>
      </c>
      <c r="M1483">
        <v>0.52</v>
      </c>
      <c r="N1483">
        <v>3</v>
      </c>
      <c r="O1483">
        <v>0.65</v>
      </c>
      <c r="P1483" t="s">
        <v>24</v>
      </c>
    </row>
    <row r="1484" spans="1:16" x14ac:dyDescent="0.35">
      <c r="A1484" t="s">
        <v>1510</v>
      </c>
      <c r="B1484">
        <v>1483</v>
      </c>
      <c r="C1484">
        <v>23</v>
      </c>
      <c r="D1484" t="s">
        <v>16</v>
      </c>
      <c r="E1484" t="s">
        <v>17</v>
      </c>
      <c r="F1484">
        <v>3</v>
      </c>
      <c r="G1484">
        <v>6</v>
      </c>
      <c r="H1484">
        <v>83.3</v>
      </c>
      <c r="I1484">
        <v>0.95</v>
      </c>
      <c r="J1484" t="s">
        <v>23</v>
      </c>
      <c r="K1484">
        <v>22</v>
      </c>
      <c r="L1484">
        <v>12</v>
      </c>
      <c r="M1484">
        <v>0.56000000000000005</v>
      </c>
      <c r="N1484">
        <v>5</v>
      </c>
      <c r="O1484">
        <v>0.56000000000000005</v>
      </c>
      <c r="P1484" t="s">
        <v>41</v>
      </c>
    </row>
    <row r="1485" spans="1:16" x14ac:dyDescent="0.35">
      <c r="A1485" t="s">
        <v>1511</v>
      </c>
      <c r="B1485">
        <v>1484</v>
      </c>
      <c r="C1485">
        <v>18</v>
      </c>
      <c r="D1485" t="s">
        <v>32</v>
      </c>
      <c r="E1485" t="s">
        <v>22</v>
      </c>
      <c r="F1485">
        <v>3.29</v>
      </c>
      <c r="G1485">
        <v>4</v>
      </c>
      <c r="H1485">
        <v>74.3</v>
      </c>
      <c r="I1485">
        <v>0.77</v>
      </c>
      <c r="J1485" t="s">
        <v>28</v>
      </c>
      <c r="K1485">
        <v>34</v>
      </c>
      <c r="L1485">
        <v>88</v>
      </c>
      <c r="M1485">
        <v>0.66</v>
      </c>
      <c r="N1485">
        <v>18</v>
      </c>
      <c r="O1485">
        <v>0.7</v>
      </c>
      <c r="P1485" t="s">
        <v>24</v>
      </c>
    </row>
    <row r="1486" spans="1:16" x14ac:dyDescent="0.35">
      <c r="A1486" t="s">
        <v>1512</v>
      </c>
      <c r="B1486">
        <v>1485</v>
      </c>
      <c r="C1486">
        <v>24</v>
      </c>
      <c r="D1486" t="s">
        <v>16</v>
      </c>
      <c r="E1486" t="s">
        <v>17</v>
      </c>
      <c r="F1486">
        <v>2.0499999999999998</v>
      </c>
      <c r="G1486">
        <v>3</v>
      </c>
      <c r="H1486">
        <v>66.599999999999994</v>
      </c>
      <c r="I1486">
        <v>0.81</v>
      </c>
      <c r="J1486" t="s">
        <v>28</v>
      </c>
      <c r="K1486">
        <v>39</v>
      </c>
      <c r="L1486">
        <v>19</v>
      </c>
      <c r="M1486">
        <v>0.72</v>
      </c>
      <c r="N1486">
        <v>8</v>
      </c>
      <c r="O1486">
        <v>0.51</v>
      </c>
      <c r="P1486" t="s">
        <v>19</v>
      </c>
    </row>
    <row r="1487" spans="1:16" x14ac:dyDescent="0.35">
      <c r="A1487" t="s">
        <v>1513</v>
      </c>
      <c r="B1487">
        <v>1486</v>
      </c>
      <c r="C1487">
        <v>24</v>
      </c>
      <c r="D1487" t="s">
        <v>21</v>
      </c>
      <c r="E1487" t="s">
        <v>17</v>
      </c>
      <c r="F1487">
        <v>2.86</v>
      </c>
      <c r="G1487">
        <v>4</v>
      </c>
      <c r="H1487">
        <v>80.099999999999994</v>
      </c>
      <c r="I1487">
        <v>0.62</v>
      </c>
      <c r="J1487" t="s">
        <v>28</v>
      </c>
      <c r="K1487">
        <v>4</v>
      </c>
      <c r="L1487">
        <v>42</v>
      </c>
      <c r="M1487">
        <v>0.56000000000000005</v>
      </c>
      <c r="N1487">
        <v>11</v>
      </c>
      <c r="O1487">
        <v>0.61</v>
      </c>
      <c r="P1487" t="s">
        <v>19</v>
      </c>
    </row>
    <row r="1488" spans="1:16" x14ac:dyDescent="0.35">
      <c r="A1488" t="s">
        <v>1514</v>
      </c>
      <c r="B1488">
        <v>1487</v>
      </c>
      <c r="C1488">
        <v>24</v>
      </c>
      <c r="D1488" t="s">
        <v>21</v>
      </c>
      <c r="E1488" t="s">
        <v>17</v>
      </c>
      <c r="F1488">
        <v>2.56</v>
      </c>
      <c r="G1488">
        <v>5</v>
      </c>
      <c r="H1488">
        <v>93.2</v>
      </c>
      <c r="I1488">
        <v>0.6</v>
      </c>
      <c r="J1488" t="s">
        <v>23</v>
      </c>
      <c r="K1488">
        <v>7</v>
      </c>
      <c r="L1488">
        <v>55</v>
      </c>
      <c r="M1488">
        <v>0.56000000000000005</v>
      </c>
      <c r="N1488">
        <v>14</v>
      </c>
      <c r="O1488">
        <v>0.72</v>
      </c>
      <c r="P1488" t="s">
        <v>19</v>
      </c>
    </row>
    <row r="1489" spans="1:16" x14ac:dyDescent="0.35">
      <c r="A1489" t="s">
        <v>1515</v>
      </c>
      <c r="B1489">
        <v>1488</v>
      </c>
      <c r="C1489">
        <v>18</v>
      </c>
      <c r="D1489" t="s">
        <v>21</v>
      </c>
      <c r="E1489" t="s">
        <v>30</v>
      </c>
      <c r="F1489">
        <v>2.2599999999999998</v>
      </c>
      <c r="G1489">
        <v>5</v>
      </c>
      <c r="H1489">
        <v>86.6</v>
      </c>
      <c r="I1489">
        <v>0.7</v>
      </c>
      <c r="J1489" t="s">
        <v>28</v>
      </c>
      <c r="K1489">
        <v>10</v>
      </c>
      <c r="L1489">
        <v>68</v>
      </c>
      <c r="M1489">
        <v>0.86</v>
      </c>
      <c r="N1489">
        <v>15</v>
      </c>
      <c r="O1489">
        <v>0.71</v>
      </c>
      <c r="P1489" t="s">
        <v>19</v>
      </c>
    </row>
    <row r="1490" spans="1:16" x14ac:dyDescent="0.35">
      <c r="A1490" t="s">
        <v>1516</v>
      </c>
      <c r="B1490">
        <v>1489</v>
      </c>
      <c r="C1490">
        <v>18</v>
      </c>
      <c r="D1490" t="s">
        <v>21</v>
      </c>
      <c r="E1490" t="s">
        <v>17</v>
      </c>
      <c r="F1490">
        <v>2.2000000000000002</v>
      </c>
      <c r="G1490">
        <v>5</v>
      </c>
      <c r="H1490">
        <v>73.5</v>
      </c>
      <c r="I1490">
        <v>0.87</v>
      </c>
      <c r="J1490" t="s">
        <v>18</v>
      </c>
      <c r="K1490">
        <v>15</v>
      </c>
      <c r="L1490">
        <v>61</v>
      </c>
      <c r="M1490">
        <v>0.78</v>
      </c>
      <c r="N1490">
        <v>12</v>
      </c>
      <c r="O1490">
        <v>0.52</v>
      </c>
      <c r="P1490" t="s">
        <v>19</v>
      </c>
    </row>
    <row r="1491" spans="1:16" x14ac:dyDescent="0.35">
      <c r="A1491" t="s">
        <v>1517</v>
      </c>
      <c r="B1491">
        <v>1490</v>
      </c>
      <c r="C1491">
        <v>18</v>
      </c>
      <c r="D1491" t="s">
        <v>32</v>
      </c>
      <c r="E1491" t="s">
        <v>17</v>
      </c>
      <c r="F1491">
        <v>3.21</v>
      </c>
      <c r="G1491">
        <v>5</v>
      </c>
      <c r="H1491">
        <v>97.4</v>
      </c>
      <c r="I1491">
        <v>0.65</v>
      </c>
      <c r="J1491" t="s">
        <v>28</v>
      </c>
      <c r="K1491">
        <v>38</v>
      </c>
      <c r="L1491">
        <v>15</v>
      </c>
      <c r="M1491">
        <v>0.77</v>
      </c>
      <c r="N1491">
        <v>6</v>
      </c>
      <c r="O1491">
        <v>0.79</v>
      </c>
      <c r="P1491" t="s">
        <v>19</v>
      </c>
    </row>
    <row r="1492" spans="1:16" x14ac:dyDescent="0.35">
      <c r="A1492" t="s">
        <v>1518</v>
      </c>
      <c r="B1492">
        <v>1491</v>
      </c>
      <c r="C1492">
        <v>18</v>
      </c>
      <c r="D1492" t="s">
        <v>32</v>
      </c>
      <c r="E1492" t="s">
        <v>22</v>
      </c>
      <c r="F1492">
        <v>3.05</v>
      </c>
      <c r="G1492">
        <v>3</v>
      </c>
      <c r="H1492">
        <v>96.5</v>
      </c>
      <c r="I1492">
        <v>0.65</v>
      </c>
      <c r="J1492" t="s">
        <v>18</v>
      </c>
      <c r="K1492">
        <v>23</v>
      </c>
      <c r="L1492">
        <v>11</v>
      </c>
      <c r="M1492">
        <v>0.73</v>
      </c>
      <c r="N1492">
        <v>19</v>
      </c>
      <c r="O1492">
        <v>0.77</v>
      </c>
      <c r="P1492" t="s">
        <v>19</v>
      </c>
    </row>
    <row r="1493" spans="1:16" x14ac:dyDescent="0.35">
      <c r="A1493" t="s">
        <v>1519</v>
      </c>
      <c r="B1493">
        <v>1492</v>
      </c>
      <c r="C1493">
        <v>24</v>
      </c>
      <c r="D1493" t="s">
        <v>21</v>
      </c>
      <c r="E1493" t="s">
        <v>22</v>
      </c>
      <c r="F1493">
        <v>2.5099999999999998</v>
      </c>
      <c r="G1493">
        <v>4</v>
      </c>
      <c r="H1493">
        <v>68.400000000000006</v>
      </c>
      <c r="I1493">
        <v>0.76</v>
      </c>
      <c r="J1493" t="s">
        <v>28</v>
      </c>
      <c r="K1493">
        <v>20</v>
      </c>
      <c r="L1493">
        <v>38</v>
      </c>
      <c r="M1493">
        <v>0.99</v>
      </c>
      <c r="N1493">
        <v>3</v>
      </c>
      <c r="O1493">
        <v>0.54</v>
      </c>
      <c r="P1493" t="s">
        <v>24</v>
      </c>
    </row>
    <row r="1494" spans="1:16" x14ac:dyDescent="0.35">
      <c r="A1494" t="s">
        <v>1520</v>
      </c>
      <c r="B1494">
        <v>1493</v>
      </c>
      <c r="C1494">
        <v>24</v>
      </c>
      <c r="D1494" t="s">
        <v>21</v>
      </c>
      <c r="E1494" t="s">
        <v>17</v>
      </c>
      <c r="F1494">
        <v>2.94</v>
      </c>
      <c r="G1494">
        <v>3</v>
      </c>
      <c r="H1494">
        <v>61.6</v>
      </c>
      <c r="I1494">
        <v>0.86</v>
      </c>
      <c r="J1494" t="s">
        <v>28</v>
      </c>
      <c r="K1494">
        <v>22</v>
      </c>
      <c r="L1494">
        <v>49</v>
      </c>
      <c r="M1494">
        <v>0.52</v>
      </c>
      <c r="N1494">
        <v>10</v>
      </c>
      <c r="O1494">
        <v>0.97</v>
      </c>
      <c r="P1494" t="s">
        <v>24</v>
      </c>
    </row>
    <row r="1495" spans="1:16" x14ac:dyDescent="0.35">
      <c r="A1495" t="s">
        <v>1521</v>
      </c>
      <c r="B1495">
        <v>1494</v>
      </c>
      <c r="C1495">
        <v>19</v>
      </c>
      <c r="D1495" t="s">
        <v>21</v>
      </c>
      <c r="E1495" t="s">
        <v>22</v>
      </c>
      <c r="F1495">
        <v>2.98</v>
      </c>
      <c r="G1495">
        <v>3</v>
      </c>
      <c r="H1495">
        <v>89.7</v>
      </c>
      <c r="I1495">
        <v>0.88</v>
      </c>
      <c r="J1495" t="s">
        <v>23</v>
      </c>
      <c r="K1495">
        <v>37</v>
      </c>
      <c r="L1495">
        <v>70</v>
      </c>
      <c r="M1495">
        <v>0.59</v>
      </c>
      <c r="N1495">
        <v>7</v>
      </c>
      <c r="O1495">
        <v>0.55000000000000004</v>
      </c>
      <c r="P1495" t="s">
        <v>24</v>
      </c>
    </row>
    <row r="1496" spans="1:16" x14ac:dyDescent="0.35">
      <c r="A1496" t="s">
        <v>1522</v>
      </c>
      <c r="B1496">
        <v>1495</v>
      </c>
      <c r="C1496">
        <v>23</v>
      </c>
      <c r="D1496" t="s">
        <v>32</v>
      </c>
      <c r="E1496" t="s">
        <v>22</v>
      </c>
      <c r="F1496">
        <v>2.39</v>
      </c>
      <c r="G1496">
        <v>3</v>
      </c>
      <c r="H1496">
        <v>93.1</v>
      </c>
      <c r="I1496">
        <v>0.67</v>
      </c>
      <c r="J1496" t="s">
        <v>18</v>
      </c>
      <c r="K1496">
        <v>7</v>
      </c>
      <c r="L1496">
        <v>77</v>
      </c>
      <c r="M1496">
        <v>0.82</v>
      </c>
      <c r="N1496">
        <v>5</v>
      </c>
      <c r="O1496">
        <v>0.93</v>
      </c>
      <c r="P1496" t="s">
        <v>19</v>
      </c>
    </row>
    <row r="1497" spans="1:16" x14ac:dyDescent="0.35">
      <c r="A1497" t="s">
        <v>1523</v>
      </c>
      <c r="B1497">
        <v>1496</v>
      </c>
      <c r="C1497">
        <v>22</v>
      </c>
      <c r="D1497" t="s">
        <v>21</v>
      </c>
      <c r="E1497" t="s">
        <v>17</v>
      </c>
      <c r="F1497">
        <v>3.3</v>
      </c>
      <c r="G1497">
        <v>5</v>
      </c>
      <c r="H1497">
        <v>98.7</v>
      </c>
      <c r="I1497">
        <v>0.63</v>
      </c>
      <c r="J1497" t="s">
        <v>18</v>
      </c>
      <c r="K1497">
        <v>6</v>
      </c>
      <c r="L1497">
        <v>77</v>
      </c>
      <c r="M1497">
        <v>0.56999999999999995</v>
      </c>
      <c r="N1497">
        <v>9</v>
      </c>
      <c r="O1497">
        <v>0.5</v>
      </c>
      <c r="P1497" t="s">
        <v>19</v>
      </c>
    </row>
    <row r="1498" spans="1:16" x14ac:dyDescent="0.35">
      <c r="A1498" t="s">
        <v>1524</v>
      </c>
      <c r="B1498">
        <v>1497</v>
      </c>
      <c r="C1498">
        <v>25</v>
      </c>
      <c r="D1498" t="s">
        <v>21</v>
      </c>
      <c r="E1498" t="s">
        <v>30</v>
      </c>
      <c r="F1498">
        <v>3.56</v>
      </c>
      <c r="G1498">
        <v>5</v>
      </c>
      <c r="H1498">
        <v>95.6</v>
      </c>
      <c r="I1498">
        <v>0.98</v>
      </c>
      <c r="J1498" t="s">
        <v>18</v>
      </c>
      <c r="K1498">
        <v>1</v>
      </c>
      <c r="L1498">
        <v>38</v>
      </c>
      <c r="M1498">
        <v>0.79</v>
      </c>
      <c r="N1498">
        <v>6</v>
      </c>
      <c r="O1498">
        <v>0.94</v>
      </c>
      <c r="P1498" t="s">
        <v>41</v>
      </c>
    </row>
    <row r="1499" spans="1:16" x14ac:dyDescent="0.35">
      <c r="A1499" t="s">
        <v>1525</v>
      </c>
      <c r="B1499">
        <v>1498</v>
      </c>
      <c r="C1499">
        <v>25</v>
      </c>
      <c r="D1499" t="s">
        <v>21</v>
      </c>
      <c r="E1499" t="s">
        <v>17</v>
      </c>
      <c r="F1499">
        <v>3.58</v>
      </c>
      <c r="G1499">
        <v>5</v>
      </c>
      <c r="H1499">
        <v>84</v>
      </c>
      <c r="I1499">
        <v>0.7</v>
      </c>
      <c r="J1499" t="s">
        <v>23</v>
      </c>
      <c r="K1499">
        <v>29</v>
      </c>
      <c r="L1499">
        <v>71</v>
      </c>
      <c r="M1499">
        <v>0.78</v>
      </c>
      <c r="N1499">
        <v>6</v>
      </c>
      <c r="O1499">
        <v>0.51</v>
      </c>
      <c r="P1499" t="s">
        <v>19</v>
      </c>
    </row>
    <row r="1500" spans="1:16" x14ac:dyDescent="0.35">
      <c r="A1500" t="s">
        <v>1526</v>
      </c>
      <c r="B1500">
        <v>1499</v>
      </c>
      <c r="C1500">
        <v>20</v>
      </c>
      <c r="D1500" t="s">
        <v>16</v>
      </c>
      <c r="E1500" t="s">
        <v>22</v>
      </c>
      <c r="F1500">
        <v>3.2</v>
      </c>
      <c r="G1500">
        <v>4</v>
      </c>
      <c r="H1500">
        <v>81.2</v>
      </c>
      <c r="I1500">
        <v>0.94</v>
      </c>
      <c r="J1500" t="s">
        <v>18</v>
      </c>
      <c r="K1500">
        <v>12</v>
      </c>
      <c r="L1500">
        <v>69</v>
      </c>
      <c r="M1500">
        <v>0.99</v>
      </c>
      <c r="N1500">
        <v>3</v>
      </c>
      <c r="O1500">
        <v>0.88</v>
      </c>
      <c r="P1500" t="s">
        <v>41</v>
      </c>
    </row>
    <row r="1501" spans="1:16" x14ac:dyDescent="0.35">
      <c r="A1501" t="s">
        <v>1527</v>
      </c>
      <c r="B1501">
        <v>1500</v>
      </c>
      <c r="C1501">
        <v>24</v>
      </c>
      <c r="D1501" t="s">
        <v>21</v>
      </c>
      <c r="E1501" t="s">
        <v>30</v>
      </c>
      <c r="F1501">
        <v>3.02</v>
      </c>
      <c r="G1501">
        <v>6</v>
      </c>
      <c r="H1501">
        <v>61.1</v>
      </c>
      <c r="I1501">
        <v>0.95</v>
      </c>
      <c r="J1501" t="s">
        <v>23</v>
      </c>
      <c r="K1501">
        <v>22</v>
      </c>
      <c r="L1501">
        <v>50</v>
      </c>
      <c r="M1501">
        <v>0.94</v>
      </c>
      <c r="N1501">
        <v>2</v>
      </c>
      <c r="O1501">
        <v>0.68</v>
      </c>
      <c r="P1501" t="s">
        <v>41</v>
      </c>
    </row>
    <row r="1502" spans="1:16" x14ac:dyDescent="0.35">
      <c r="A1502" t="s">
        <v>1528</v>
      </c>
      <c r="B1502">
        <v>1501</v>
      </c>
      <c r="C1502">
        <v>20</v>
      </c>
      <c r="D1502" t="s">
        <v>16</v>
      </c>
      <c r="E1502" t="s">
        <v>46</v>
      </c>
      <c r="F1502">
        <v>2.12</v>
      </c>
      <c r="G1502">
        <v>5</v>
      </c>
      <c r="H1502">
        <v>69.900000000000006</v>
      </c>
      <c r="I1502">
        <v>0.91</v>
      </c>
      <c r="J1502" t="s">
        <v>28</v>
      </c>
      <c r="K1502">
        <v>28</v>
      </c>
      <c r="L1502">
        <v>74</v>
      </c>
      <c r="M1502">
        <v>0.97</v>
      </c>
      <c r="N1502">
        <v>6</v>
      </c>
      <c r="O1502">
        <v>0.87</v>
      </c>
      <c r="P1502" t="s">
        <v>19</v>
      </c>
    </row>
    <row r="1503" spans="1:16" x14ac:dyDescent="0.35">
      <c r="A1503" t="s">
        <v>1529</v>
      </c>
      <c r="B1503">
        <v>1502</v>
      </c>
      <c r="C1503">
        <v>23</v>
      </c>
      <c r="D1503" t="s">
        <v>16</v>
      </c>
      <c r="E1503" t="s">
        <v>30</v>
      </c>
      <c r="F1503">
        <v>2.58</v>
      </c>
      <c r="G1503">
        <v>4</v>
      </c>
      <c r="H1503">
        <v>78.400000000000006</v>
      </c>
      <c r="I1503">
        <v>0.67</v>
      </c>
      <c r="J1503" t="s">
        <v>28</v>
      </c>
      <c r="K1503">
        <v>37</v>
      </c>
      <c r="L1503">
        <v>73</v>
      </c>
      <c r="M1503">
        <v>0.56000000000000005</v>
      </c>
      <c r="N1503">
        <v>3</v>
      </c>
      <c r="O1503">
        <v>0.7</v>
      </c>
      <c r="P1503" t="s">
        <v>19</v>
      </c>
    </row>
    <row r="1504" spans="1:16" x14ac:dyDescent="0.35">
      <c r="A1504" t="s">
        <v>1530</v>
      </c>
      <c r="B1504">
        <v>1503</v>
      </c>
      <c r="C1504">
        <v>23</v>
      </c>
      <c r="D1504" t="s">
        <v>21</v>
      </c>
      <c r="E1504" t="s">
        <v>22</v>
      </c>
      <c r="F1504">
        <v>2.19</v>
      </c>
      <c r="G1504">
        <v>5</v>
      </c>
      <c r="H1504">
        <v>85.1</v>
      </c>
      <c r="I1504">
        <v>0.93</v>
      </c>
      <c r="J1504" t="s">
        <v>18</v>
      </c>
      <c r="K1504">
        <v>36</v>
      </c>
      <c r="L1504">
        <v>88</v>
      </c>
      <c r="M1504">
        <v>0.93</v>
      </c>
      <c r="N1504">
        <v>12</v>
      </c>
      <c r="O1504">
        <v>0.54</v>
      </c>
      <c r="P1504" t="s">
        <v>19</v>
      </c>
    </row>
    <row r="1505" spans="1:16" x14ac:dyDescent="0.35">
      <c r="A1505" t="s">
        <v>1531</v>
      </c>
      <c r="B1505">
        <v>1504</v>
      </c>
      <c r="C1505">
        <v>20</v>
      </c>
      <c r="D1505" t="s">
        <v>16</v>
      </c>
      <c r="E1505" t="s">
        <v>30</v>
      </c>
      <c r="F1505">
        <v>3.93</v>
      </c>
      <c r="G1505">
        <v>5</v>
      </c>
      <c r="H1505">
        <v>82.3</v>
      </c>
      <c r="I1505">
        <v>0.91</v>
      </c>
      <c r="J1505" t="s">
        <v>28</v>
      </c>
      <c r="K1505">
        <v>19</v>
      </c>
      <c r="L1505">
        <v>72</v>
      </c>
      <c r="M1505">
        <v>0.56000000000000005</v>
      </c>
      <c r="N1505">
        <v>19</v>
      </c>
      <c r="O1505">
        <v>0.88</v>
      </c>
      <c r="P1505" t="s">
        <v>41</v>
      </c>
    </row>
    <row r="1506" spans="1:16" x14ac:dyDescent="0.35">
      <c r="A1506" t="s">
        <v>1532</v>
      </c>
      <c r="B1506">
        <v>1505</v>
      </c>
      <c r="C1506">
        <v>24</v>
      </c>
      <c r="D1506" t="s">
        <v>21</v>
      </c>
      <c r="E1506" t="s">
        <v>17</v>
      </c>
      <c r="F1506">
        <v>2.27</v>
      </c>
      <c r="G1506">
        <v>3</v>
      </c>
      <c r="H1506">
        <v>89.7</v>
      </c>
      <c r="I1506">
        <v>0.84</v>
      </c>
      <c r="J1506" t="s">
        <v>28</v>
      </c>
      <c r="K1506">
        <v>32</v>
      </c>
      <c r="L1506">
        <v>57</v>
      </c>
      <c r="M1506">
        <v>0.82</v>
      </c>
      <c r="N1506">
        <v>16</v>
      </c>
      <c r="O1506">
        <v>0.54</v>
      </c>
      <c r="P1506" t="s">
        <v>19</v>
      </c>
    </row>
    <row r="1507" spans="1:16" x14ac:dyDescent="0.35">
      <c r="A1507" t="s">
        <v>1533</v>
      </c>
      <c r="B1507">
        <v>1506</v>
      </c>
      <c r="C1507">
        <v>20</v>
      </c>
      <c r="D1507" t="s">
        <v>32</v>
      </c>
      <c r="E1507" t="s">
        <v>46</v>
      </c>
      <c r="F1507">
        <v>2.2999999999999998</v>
      </c>
      <c r="G1507">
        <v>3</v>
      </c>
      <c r="H1507">
        <v>71.2</v>
      </c>
      <c r="I1507">
        <v>0.73</v>
      </c>
      <c r="J1507" t="s">
        <v>18</v>
      </c>
      <c r="K1507">
        <v>28</v>
      </c>
      <c r="L1507">
        <v>29</v>
      </c>
      <c r="M1507">
        <v>0.86</v>
      </c>
      <c r="N1507">
        <v>6</v>
      </c>
      <c r="O1507">
        <v>0.96</v>
      </c>
      <c r="P1507" t="s">
        <v>19</v>
      </c>
    </row>
    <row r="1508" spans="1:16" x14ac:dyDescent="0.35">
      <c r="A1508" t="s">
        <v>1534</v>
      </c>
      <c r="B1508">
        <v>1507</v>
      </c>
      <c r="C1508">
        <v>25</v>
      </c>
      <c r="D1508" t="s">
        <v>32</v>
      </c>
      <c r="E1508" t="s">
        <v>46</v>
      </c>
      <c r="F1508">
        <v>3.78</v>
      </c>
      <c r="G1508">
        <v>3</v>
      </c>
      <c r="H1508">
        <v>82.6</v>
      </c>
      <c r="I1508">
        <v>0.71</v>
      </c>
      <c r="J1508" t="s">
        <v>28</v>
      </c>
      <c r="K1508">
        <v>14</v>
      </c>
      <c r="L1508">
        <v>46</v>
      </c>
      <c r="M1508">
        <v>0.57999999999999996</v>
      </c>
      <c r="N1508">
        <v>16</v>
      </c>
      <c r="O1508">
        <v>0.53</v>
      </c>
      <c r="P1508" t="s">
        <v>19</v>
      </c>
    </row>
    <row r="1509" spans="1:16" x14ac:dyDescent="0.35">
      <c r="A1509" t="s">
        <v>1535</v>
      </c>
      <c r="B1509">
        <v>1508</v>
      </c>
      <c r="C1509">
        <v>19</v>
      </c>
      <c r="D1509" t="s">
        <v>32</v>
      </c>
      <c r="E1509" t="s">
        <v>46</v>
      </c>
      <c r="F1509">
        <v>3.89</v>
      </c>
      <c r="G1509">
        <v>4</v>
      </c>
      <c r="H1509">
        <v>63.5</v>
      </c>
      <c r="I1509">
        <v>0.65</v>
      </c>
      <c r="J1509" t="s">
        <v>18</v>
      </c>
      <c r="K1509">
        <v>22</v>
      </c>
      <c r="L1509">
        <v>73</v>
      </c>
      <c r="M1509">
        <v>0.82</v>
      </c>
      <c r="N1509">
        <v>3</v>
      </c>
      <c r="O1509">
        <v>0.74</v>
      </c>
      <c r="P1509" t="s">
        <v>19</v>
      </c>
    </row>
    <row r="1510" spans="1:16" x14ac:dyDescent="0.35">
      <c r="A1510" t="s">
        <v>1536</v>
      </c>
      <c r="B1510">
        <v>1509</v>
      </c>
      <c r="C1510">
        <v>25</v>
      </c>
      <c r="D1510" t="s">
        <v>32</v>
      </c>
      <c r="E1510" t="s">
        <v>22</v>
      </c>
      <c r="F1510">
        <v>3.53</v>
      </c>
      <c r="G1510">
        <v>6</v>
      </c>
      <c r="H1510">
        <v>76.5</v>
      </c>
      <c r="I1510">
        <v>0.8</v>
      </c>
      <c r="J1510" t="s">
        <v>18</v>
      </c>
      <c r="K1510">
        <v>2</v>
      </c>
      <c r="L1510">
        <v>14</v>
      </c>
      <c r="M1510">
        <v>0.53</v>
      </c>
      <c r="N1510">
        <v>10</v>
      </c>
      <c r="O1510">
        <v>0.86</v>
      </c>
      <c r="P1510" t="s">
        <v>24</v>
      </c>
    </row>
    <row r="1511" spans="1:16" x14ac:dyDescent="0.35">
      <c r="A1511" t="s">
        <v>1537</v>
      </c>
      <c r="B1511">
        <v>1510</v>
      </c>
      <c r="C1511">
        <v>21</v>
      </c>
      <c r="D1511" t="s">
        <v>16</v>
      </c>
      <c r="E1511" t="s">
        <v>22</v>
      </c>
      <c r="F1511">
        <v>2.0099999999999998</v>
      </c>
      <c r="G1511">
        <v>6</v>
      </c>
      <c r="H1511">
        <v>90</v>
      </c>
      <c r="I1511">
        <v>0.83</v>
      </c>
      <c r="J1511" t="s">
        <v>28</v>
      </c>
      <c r="K1511">
        <v>36</v>
      </c>
      <c r="L1511">
        <v>43</v>
      </c>
      <c r="M1511">
        <v>0.65</v>
      </c>
      <c r="N1511">
        <v>2</v>
      </c>
      <c r="O1511">
        <v>0.7</v>
      </c>
      <c r="P1511" t="s">
        <v>19</v>
      </c>
    </row>
    <row r="1512" spans="1:16" x14ac:dyDescent="0.35">
      <c r="A1512" t="s">
        <v>1538</v>
      </c>
      <c r="B1512">
        <v>1511</v>
      </c>
      <c r="C1512">
        <v>24</v>
      </c>
      <c r="D1512" t="s">
        <v>21</v>
      </c>
      <c r="E1512" t="s">
        <v>46</v>
      </c>
      <c r="F1512">
        <v>2</v>
      </c>
      <c r="G1512">
        <v>4</v>
      </c>
      <c r="H1512">
        <v>87.7</v>
      </c>
      <c r="I1512">
        <v>0.74</v>
      </c>
      <c r="J1512" t="s">
        <v>28</v>
      </c>
      <c r="K1512">
        <v>28</v>
      </c>
      <c r="L1512">
        <v>48</v>
      </c>
      <c r="M1512">
        <v>0.96</v>
      </c>
      <c r="N1512">
        <v>10</v>
      </c>
      <c r="O1512">
        <v>0.61</v>
      </c>
      <c r="P1512" t="s">
        <v>19</v>
      </c>
    </row>
    <row r="1513" spans="1:16" x14ac:dyDescent="0.35">
      <c r="A1513" t="s">
        <v>1539</v>
      </c>
      <c r="B1513">
        <v>1512</v>
      </c>
      <c r="C1513">
        <v>24</v>
      </c>
      <c r="D1513" t="s">
        <v>21</v>
      </c>
      <c r="E1513" t="s">
        <v>30</v>
      </c>
      <c r="F1513">
        <v>2.76</v>
      </c>
      <c r="G1513">
        <v>5</v>
      </c>
      <c r="H1513">
        <v>99.6</v>
      </c>
      <c r="I1513">
        <v>0.79</v>
      </c>
      <c r="J1513" t="s">
        <v>28</v>
      </c>
      <c r="K1513">
        <v>7</v>
      </c>
      <c r="L1513">
        <v>76</v>
      </c>
      <c r="M1513">
        <v>0.59</v>
      </c>
      <c r="N1513">
        <v>2</v>
      </c>
      <c r="O1513">
        <v>0.88</v>
      </c>
      <c r="P1513" t="s">
        <v>24</v>
      </c>
    </row>
    <row r="1514" spans="1:16" x14ac:dyDescent="0.35">
      <c r="A1514" t="s">
        <v>1540</v>
      </c>
      <c r="B1514">
        <v>1513</v>
      </c>
      <c r="C1514">
        <v>22</v>
      </c>
      <c r="D1514" t="s">
        <v>21</v>
      </c>
      <c r="E1514" t="s">
        <v>46</v>
      </c>
      <c r="F1514">
        <v>2.29</v>
      </c>
      <c r="G1514">
        <v>4</v>
      </c>
      <c r="H1514">
        <v>71.099999999999994</v>
      </c>
      <c r="I1514">
        <v>0.75</v>
      </c>
      <c r="J1514" t="s">
        <v>28</v>
      </c>
      <c r="K1514">
        <v>21</v>
      </c>
      <c r="L1514">
        <v>71</v>
      </c>
      <c r="M1514">
        <v>0.53</v>
      </c>
      <c r="N1514">
        <v>11</v>
      </c>
      <c r="O1514">
        <v>0.89</v>
      </c>
      <c r="P1514" t="s">
        <v>19</v>
      </c>
    </row>
    <row r="1515" spans="1:16" x14ac:dyDescent="0.35">
      <c r="A1515" t="s">
        <v>1541</v>
      </c>
      <c r="B1515">
        <v>1514</v>
      </c>
      <c r="C1515">
        <v>18</v>
      </c>
      <c r="D1515" t="s">
        <v>32</v>
      </c>
      <c r="E1515" t="s">
        <v>30</v>
      </c>
      <c r="F1515">
        <v>2.04</v>
      </c>
      <c r="G1515">
        <v>5</v>
      </c>
      <c r="H1515">
        <v>79.900000000000006</v>
      </c>
      <c r="I1515">
        <v>0.86</v>
      </c>
      <c r="J1515" t="s">
        <v>28</v>
      </c>
      <c r="K1515">
        <v>28</v>
      </c>
      <c r="L1515">
        <v>33</v>
      </c>
      <c r="M1515">
        <v>0.72</v>
      </c>
      <c r="N1515">
        <v>0</v>
      </c>
      <c r="O1515">
        <v>0.96</v>
      </c>
      <c r="P1515" t="s">
        <v>19</v>
      </c>
    </row>
    <row r="1516" spans="1:16" x14ac:dyDescent="0.35">
      <c r="A1516" t="s">
        <v>1542</v>
      </c>
      <c r="B1516">
        <v>1515</v>
      </c>
      <c r="C1516">
        <v>21</v>
      </c>
      <c r="D1516" t="s">
        <v>32</v>
      </c>
      <c r="E1516" t="s">
        <v>30</v>
      </c>
      <c r="F1516">
        <v>2.93</v>
      </c>
      <c r="G1516">
        <v>4</v>
      </c>
      <c r="H1516">
        <v>73.2</v>
      </c>
      <c r="I1516">
        <v>0.96</v>
      </c>
      <c r="J1516" t="s">
        <v>23</v>
      </c>
      <c r="K1516">
        <v>1</v>
      </c>
      <c r="L1516">
        <v>12</v>
      </c>
      <c r="M1516">
        <v>0.93</v>
      </c>
      <c r="N1516">
        <v>3</v>
      </c>
      <c r="O1516">
        <v>0.69</v>
      </c>
      <c r="P1516" t="s">
        <v>24</v>
      </c>
    </row>
    <row r="1517" spans="1:16" x14ac:dyDescent="0.35">
      <c r="A1517" t="s">
        <v>1543</v>
      </c>
      <c r="B1517">
        <v>1516</v>
      </c>
      <c r="C1517">
        <v>23</v>
      </c>
      <c r="D1517" t="s">
        <v>21</v>
      </c>
      <c r="E1517" t="s">
        <v>22</v>
      </c>
      <c r="F1517">
        <v>3.89</v>
      </c>
      <c r="G1517">
        <v>4</v>
      </c>
      <c r="H1517">
        <v>77.599999999999994</v>
      </c>
      <c r="I1517">
        <v>0.67</v>
      </c>
      <c r="J1517" t="s">
        <v>28</v>
      </c>
      <c r="K1517">
        <v>0</v>
      </c>
      <c r="L1517">
        <v>80</v>
      </c>
      <c r="M1517">
        <v>0.54</v>
      </c>
      <c r="N1517">
        <v>13</v>
      </c>
      <c r="O1517">
        <v>0.75</v>
      </c>
      <c r="P1517" t="s">
        <v>19</v>
      </c>
    </row>
    <row r="1518" spans="1:16" x14ac:dyDescent="0.35">
      <c r="A1518" t="s">
        <v>1544</v>
      </c>
      <c r="B1518">
        <v>1517</v>
      </c>
      <c r="C1518">
        <v>24</v>
      </c>
      <c r="D1518" t="s">
        <v>32</v>
      </c>
      <c r="E1518" t="s">
        <v>30</v>
      </c>
      <c r="F1518">
        <v>2.65</v>
      </c>
      <c r="G1518">
        <v>4</v>
      </c>
      <c r="H1518">
        <v>94.3</v>
      </c>
      <c r="I1518">
        <v>0.75</v>
      </c>
      <c r="J1518" t="s">
        <v>23</v>
      </c>
      <c r="K1518">
        <v>19</v>
      </c>
      <c r="L1518">
        <v>76</v>
      </c>
      <c r="M1518">
        <v>0.68</v>
      </c>
      <c r="N1518">
        <v>0</v>
      </c>
      <c r="O1518">
        <v>0.68</v>
      </c>
      <c r="P1518" t="s">
        <v>24</v>
      </c>
    </row>
    <row r="1519" spans="1:16" x14ac:dyDescent="0.35">
      <c r="A1519" t="s">
        <v>1545</v>
      </c>
      <c r="B1519">
        <v>1518</v>
      </c>
      <c r="C1519">
        <v>20</v>
      </c>
      <c r="D1519" t="s">
        <v>21</v>
      </c>
      <c r="E1519" t="s">
        <v>46</v>
      </c>
      <c r="F1519">
        <v>3.32</v>
      </c>
      <c r="G1519">
        <v>6</v>
      </c>
      <c r="H1519">
        <v>87.4</v>
      </c>
      <c r="I1519">
        <v>0.66</v>
      </c>
      <c r="J1519" t="s">
        <v>18</v>
      </c>
      <c r="K1519">
        <v>20</v>
      </c>
      <c r="L1519">
        <v>88</v>
      </c>
      <c r="M1519">
        <v>0.95</v>
      </c>
      <c r="N1519">
        <v>13</v>
      </c>
      <c r="O1519">
        <v>0.63</v>
      </c>
      <c r="P1519" t="s">
        <v>19</v>
      </c>
    </row>
    <row r="1520" spans="1:16" x14ac:dyDescent="0.35">
      <c r="A1520" t="s">
        <v>1546</v>
      </c>
      <c r="B1520">
        <v>1519</v>
      </c>
      <c r="C1520">
        <v>21</v>
      </c>
      <c r="D1520" t="s">
        <v>21</v>
      </c>
      <c r="E1520" t="s">
        <v>22</v>
      </c>
      <c r="F1520">
        <v>3.3</v>
      </c>
      <c r="G1520">
        <v>3</v>
      </c>
      <c r="H1520">
        <v>95.3</v>
      </c>
      <c r="I1520">
        <v>0.85</v>
      </c>
      <c r="J1520" t="s">
        <v>28</v>
      </c>
      <c r="K1520">
        <v>36</v>
      </c>
      <c r="L1520">
        <v>59</v>
      </c>
      <c r="M1520">
        <v>0.56000000000000005</v>
      </c>
      <c r="N1520">
        <v>12</v>
      </c>
      <c r="O1520">
        <v>0.88</v>
      </c>
      <c r="P1520" t="s">
        <v>41</v>
      </c>
    </row>
    <row r="1521" spans="1:16" x14ac:dyDescent="0.35">
      <c r="A1521" t="s">
        <v>1547</v>
      </c>
      <c r="B1521">
        <v>1520</v>
      </c>
      <c r="C1521">
        <v>22</v>
      </c>
      <c r="D1521" t="s">
        <v>21</v>
      </c>
      <c r="E1521" t="s">
        <v>17</v>
      </c>
      <c r="F1521">
        <v>2.5</v>
      </c>
      <c r="G1521">
        <v>4</v>
      </c>
      <c r="H1521">
        <v>68.099999999999994</v>
      </c>
      <c r="I1521">
        <v>0.89</v>
      </c>
      <c r="J1521" t="s">
        <v>28</v>
      </c>
      <c r="K1521">
        <v>7</v>
      </c>
      <c r="L1521">
        <v>38</v>
      </c>
      <c r="M1521">
        <v>0.66</v>
      </c>
      <c r="N1521">
        <v>12</v>
      </c>
      <c r="O1521">
        <v>0.67</v>
      </c>
      <c r="P1521" t="s">
        <v>24</v>
      </c>
    </row>
    <row r="1522" spans="1:16" x14ac:dyDescent="0.35">
      <c r="A1522" t="s">
        <v>1548</v>
      </c>
      <c r="B1522">
        <v>1521</v>
      </c>
      <c r="C1522">
        <v>23</v>
      </c>
      <c r="D1522" t="s">
        <v>21</v>
      </c>
      <c r="E1522" t="s">
        <v>17</v>
      </c>
      <c r="F1522">
        <v>3.3</v>
      </c>
      <c r="G1522">
        <v>6</v>
      </c>
      <c r="H1522">
        <v>94.9</v>
      </c>
      <c r="I1522">
        <v>0.97</v>
      </c>
      <c r="J1522" t="s">
        <v>28</v>
      </c>
      <c r="K1522">
        <v>26</v>
      </c>
      <c r="L1522">
        <v>83</v>
      </c>
      <c r="M1522">
        <v>0.89</v>
      </c>
      <c r="N1522">
        <v>14</v>
      </c>
      <c r="O1522">
        <v>0.71</v>
      </c>
      <c r="P1522" t="s">
        <v>41</v>
      </c>
    </row>
    <row r="1523" spans="1:16" x14ac:dyDescent="0.35">
      <c r="A1523" t="s">
        <v>1549</v>
      </c>
      <c r="B1523">
        <v>1522</v>
      </c>
      <c r="C1523">
        <v>18</v>
      </c>
      <c r="D1523" t="s">
        <v>21</v>
      </c>
      <c r="E1523" t="s">
        <v>22</v>
      </c>
      <c r="F1523">
        <v>2.42</v>
      </c>
      <c r="G1523">
        <v>3</v>
      </c>
      <c r="H1523">
        <v>62.4</v>
      </c>
      <c r="I1523">
        <v>0.71</v>
      </c>
      <c r="J1523" t="s">
        <v>18</v>
      </c>
      <c r="K1523">
        <v>34</v>
      </c>
      <c r="L1523">
        <v>41</v>
      </c>
      <c r="M1523">
        <v>0.77</v>
      </c>
      <c r="N1523">
        <v>16</v>
      </c>
      <c r="O1523">
        <v>0.7</v>
      </c>
      <c r="P1523" t="s">
        <v>19</v>
      </c>
    </row>
    <row r="1524" spans="1:16" x14ac:dyDescent="0.35">
      <c r="A1524" t="s">
        <v>1550</v>
      </c>
      <c r="B1524">
        <v>1523</v>
      </c>
      <c r="C1524">
        <v>18</v>
      </c>
      <c r="D1524" t="s">
        <v>21</v>
      </c>
      <c r="E1524" t="s">
        <v>46</v>
      </c>
      <c r="F1524">
        <v>2.2400000000000002</v>
      </c>
      <c r="G1524">
        <v>3</v>
      </c>
      <c r="H1524">
        <v>95.5</v>
      </c>
      <c r="I1524">
        <v>0.98</v>
      </c>
      <c r="J1524" t="s">
        <v>23</v>
      </c>
      <c r="K1524">
        <v>5</v>
      </c>
      <c r="L1524">
        <v>48</v>
      </c>
      <c r="M1524">
        <v>0.92</v>
      </c>
      <c r="N1524">
        <v>11</v>
      </c>
      <c r="O1524">
        <v>0.86</v>
      </c>
      <c r="P1524" t="s">
        <v>19</v>
      </c>
    </row>
    <row r="1525" spans="1:16" x14ac:dyDescent="0.35">
      <c r="A1525" t="s">
        <v>1551</v>
      </c>
      <c r="B1525">
        <v>1524</v>
      </c>
      <c r="C1525">
        <v>22</v>
      </c>
      <c r="D1525" t="s">
        <v>21</v>
      </c>
      <c r="E1525" t="s">
        <v>17</v>
      </c>
      <c r="F1525">
        <v>3.4</v>
      </c>
      <c r="G1525">
        <v>4</v>
      </c>
      <c r="H1525">
        <v>73.2</v>
      </c>
      <c r="I1525">
        <v>0.63</v>
      </c>
      <c r="J1525" t="s">
        <v>23</v>
      </c>
      <c r="K1525">
        <v>18</v>
      </c>
      <c r="L1525">
        <v>18</v>
      </c>
      <c r="M1525">
        <v>0.56000000000000005</v>
      </c>
      <c r="N1525">
        <v>13</v>
      </c>
      <c r="O1525">
        <v>0.96</v>
      </c>
      <c r="P1525" t="s">
        <v>19</v>
      </c>
    </row>
    <row r="1526" spans="1:16" x14ac:dyDescent="0.35">
      <c r="A1526" t="s">
        <v>1552</v>
      </c>
      <c r="B1526">
        <v>1525</v>
      </c>
      <c r="C1526">
        <v>22</v>
      </c>
      <c r="D1526" t="s">
        <v>32</v>
      </c>
      <c r="E1526" t="s">
        <v>17</v>
      </c>
      <c r="F1526">
        <v>2.23</v>
      </c>
      <c r="G1526">
        <v>5</v>
      </c>
      <c r="H1526">
        <v>72.599999999999994</v>
      </c>
      <c r="I1526">
        <v>0.84</v>
      </c>
      <c r="J1526" t="s">
        <v>28</v>
      </c>
      <c r="K1526">
        <v>17</v>
      </c>
      <c r="L1526">
        <v>23</v>
      </c>
      <c r="M1526">
        <v>0.96</v>
      </c>
      <c r="N1526">
        <v>11</v>
      </c>
      <c r="O1526">
        <v>0.83</v>
      </c>
      <c r="P1526" t="s">
        <v>19</v>
      </c>
    </row>
    <row r="1527" spans="1:16" x14ac:dyDescent="0.35">
      <c r="A1527" t="s">
        <v>1553</v>
      </c>
      <c r="B1527">
        <v>1526</v>
      </c>
      <c r="C1527">
        <v>20</v>
      </c>
      <c r="D1527" t="s">
        <v>21</v>
      </c>
      <c r="E1527" t="s">
        <v>30</v>
      </c>
      <c r="F1527">
        <v>3.99</v>
      </c>
      <c r="G1527">
        <v>5</v>
      </c>
      <c r="H1527">
        <v>80.5</v>
      </c>
      <c r="I1527">
        <v>0.62</v>
      </c>
      <c r="J1527" t="s">
        <v>28</v>
      </c>
      <c r="K1527">
        <v>0</v>
      </c>
      <c r="L1527">
        <v>77</v>
      </c>
      <c r="M1527">
        <v>0.97</v>
      </c>
      <c r="N1527">
        <v>17</v>
      </c>
      <c r="O1527">
        <v>0.74</v>
      </c>
      <c r="P1527" t="s">
        <v>19</v>
      </c>
    </row>
    <row r="1528" spans="1:16" x14ac:dyDescent="0.35">
      <c r="A1528" t="s">
        <v>1554</v>
      </c>
      <c r="B1528">
        <v>1527</v>
      </c>
      <c r="C1528">
        <v>24</v>
      </c>
      <c r="D1528" t="s">
        <v>21</v>
      </c>
      <c r="E1528" t="s">
        <v>30</v>
      </c>
      <c r="F1528">
        <v>2.37</v>
      </c>
      <c r="G1528">
        <v>5</v>
      </c>
      <c r="H1528">
        <v>97.6</v>
      </c>
      <c r="I1528">
        <v>0.96</v>
      </c>
      <c r="J1528" t="s">
        <v>28</v>
      </c>
      <c r="K1528">
        <v>24</v>
      </c>
      <c r="L1528">
        <v>73</v>
      </c>
      <c r="M1528">
        <v>0.57999999999999996</v>
      </c>
      <c r="N1528">
        <v>3</v>
      </c>
      <c r="O1528">
        <v>0.89</v>
      </c>
      <c r="P1528" t="s">
        <v>19</v>
      </c>
    </row>
    <row r="1529" spans="1:16" x14ac:dyDescent="0.35">
      <c r="A1529" t="s">
        <v>1555</v>
      </c>
      <c r="B1529">
        <v>1528</v>
      </c>
      <c r="C1529">
        <v>18</v>
      </c>
      <c r="D1529" t="s">
        <v>32</v>
      </c>
      <c r="E1529" t="s">
        <v>46</v>
      </c>
      <c r="F1529">
        <v>3.19</v>
      </c>
      <c r="G1529">
        <v>4</v>
      </c>
      <c r="H1529">
        <v>61.9</v>
      </c>
      <c r="I1529">
        <v>0.81</v>
      </c>
      <c r="J1529" t="s">
        <v>28</v>
      </c>
      <c r="K1529">
        <v>26</v>
      </c>
      <c r="L1529">
        <v>29</v>
      </c>
      <c r="M1529">
        <v>0.52</v>
      </c>
      <c r="N1529">
        <v>13</v>
      </c>
      <c r="O1529">
        <v>0.82</v>
      </c>
      <c r="P1529" t="s">
        <v>24</v>
      </c>
    </row>
    <row r="1530" spans="1:16" x14ac:dyDescent="0.35">
      <c r="A1530" t="s">
        <v>1556</v>
      </c>
      <c r="B1530">
        <v>1529</v>
      </c>
      <c r="C1530">
        <v>23</v>
      </c>
      <c r="D1530" t="s">
        <v>32</v>
      </c>
      <c r="E1530" t="s">
        <v>22</v>
      </c>
      <c r="F1530">
        <v>2.82</v>
      </c>
      <c r="G1530">
        <v>5</v>
      </c>
      <c r="H1530">
        <v>74.099999999999994</v>
      </c>
      <c r="I1530">
        <v>0.87</v>
      </c>
      <c r="J1530" t="s">
        <v>18</v>
      </c>
      <c r="K1530">
        <v>6</v>
      </c>
      <c r="L1530">
        <v>37</v>
      </c>
      <c r="M1530">
        <v>0.99</v>
      </c>
      <c r="N1530">
        <v>18</v>
      </c>
      <c r="O1530">
        <v>0.53</v>
      </c>
      <c r="P1530" t="s">
        <v>24</v>
      </c>
    </row>
    <row r="1531" spans="1:16" x14ac:dyDescent="0.35">
      <c r="A1531" t="s">
        <v>1557</v>
      </c>
      <c r="B1531">
        <v>1530</v>
      </c>
      <c r="C1531">
        <v>21</v>
      </c>
      <c r="D1531" t="s">
        <v>32</v>
      </c>
      <c r="E1531" t="s">
        <v>46</v>
      </c>
      <c r="F1531">
        <v>2.25</v>
      </c>
      <c r="G1531">
        <v>6</v>
      </c>
      <c r="H1531">
        <v>94.3</v>
      </c>
      <c r="I1531">
        <v>0.93</v>
      </c>
      <c r="J1531" t="s">
        <v>28</v>
      </c>
      <c r="K1531">
        <v>28</v>
      </c>
      <c r="L1531">
        <v>23</v>
      </c>
      <c r="M1531">
        <v>0.74</v>
      </c>
      <c r="N1531">
        <v>12</v>
      </c>
      <c r="O1531">
        <v>0.55000000000000004</v>
      </c>
      <c r="P1531" t="s">
        <v>19</v>
      </c>
    </row>
    <row r="1532" spans="1:16" x14ac:dyDescent="0.35">
      <c r="A1532" t="s">
        <v>1558</v>
      </c>
      <c r="B1532">
        <v>1531</v>
      </c>
      <c r="C1532">
        <v>23</v>
      </c>
      <c r="D1532" t="s">
        <v>21</v>
      </c>
      <c r="E1532" t="s">
        <v>22</v>
      </c>
      <c r="F1532">
        <v>2.06</v>
      </c>
      <c r="G1532">
        <v>6</v>
      </c>
      <c r="H1532">
        <v>75.8</v>
      </c>
      <c r="I1532">
        <v>0.66</v>
      </c>
      <c r="J1532" t="s">
        <v>18</v>
      </c>
      <c r="K1532">
        <v>30</v>
      </c>
      <c r="L1532">
        <v>53</v>
      </c>
      <c r="M1532">
        <v>0.79</v>
      </c>
      <c r="N1532">
        <v>17</v>
      </c>
      <c r="O1532">
        <v>0.52</v>
      </c>
      <c r="P1532" t="s">
        <v>19</v>
      </c>
    </row>
    <row r="1533" spans="1:16" x14ac:dyDescent="0.35">
      <c r="A1533" t="s">
        <v>1559</v>
      </c>
      <c r="B1533">
        <v>1532</v>
      </c>
      <c r="C1533">
        <v>19</v>
      </c>
      <c r="D1533" t="s">
        <v>16</v>
      </c>
      <c r="E1533" t="s">
        <v>17</v>
      </c>
      <c r="F1533">
        <v>3.25</v>
      </c>
      <c r="G1533">
        <v>6</v>
      </c>
      <c r="H1533">
        <v>68</v>
      </c>
      <c r="I1533">
        <v>0.62</v>
      </c>
      <c r="J1533" t="s">
        <v>28</v>
      </c>
      <c r="K1533">
        <v>35</v>
      </c>
      <c r="L1533">
        <v>86</v>
      </c>
      <c r="M1533">
        <v>0.81</v>
      </c>
      <c r="N1533">
        <v>10</v>
      </c>
      <c r="O1533">
        <v>0.73</v>
      </c>
      <c r="P1533" t="s">
        <v>19</v>
      </c>
    </row>
    <row r="1534" spans="1:16" x14ac:dyDescent="0.35">
      <c r="A1534" t="s">
        <v>1560</v>
      </c>
      <c r="B1534">
        <v>1533</v>
      </c>
      <c r="C1534">
        <v>19</v>
      </c>
      <c r="D1534" t="s">
        <v>16</v>
      </c>
      <c r="E1534" t="s">
        <v>30</v>
      </c>
      <c r="F1534">
        <v>3.61</v>
      </c>
      <c r="G1534">
        <v>6</v>
      </c>
      <c r="H1534">
        <v>77</v>
      </c>
      <c r="I1534">
        <v>0.95</v>
      </c>
      <c r="J1534" t="s">
        <v>23</v>
      </c>
      <c r="K1534">
        <v>18</v>
      </c>
      <c r="L1534">
        <v>48</v>
      </c>
      <c r="M1534">
        <v>0.89</v>
      </c>
      <c r="N1534">
        <v>5</v>
      </c>
      <c r="O1534">
        <v>0.91</v>
      </c>
      <c r="P1534" t="s">
        <v>41</v>
      </c>
    </row>
    <row r="1535" spans="1:16" x14ac:dyDescent="0.35">
      <c r="A1535" t="s">
        <v>1561</v>
      </c>
      <c r="B1535">
        <v>1534</v>
      </c>
      <c r="C1535">
        <v>22</v>
      </c>
      <c r="D1535" t="s">
        <v>32</v>
      </c>
      <c r="E1535" t="s">
        <v>46</v>
      </c>
      <c r="F1535">
        <v>3.68</v>
      </c>
      <c r="G1535">
        <v>3</v>
      </c>
      <c r="H1535">
        <v>75.400000000000006</v>
      </c>
      <c r="I1535">
        <v>0.73</v>
      </c>
      <c r="J1535" t="s">
        <v>23</v>
      </c>
      <c r="K1535">
        <v>5</v>
      </c>
      <c r="L1535">
        <v>37</v>
      </c>
      <c r="M1535">
        <v>0.91</v>
      </c>
      <c r="N1535">
        <v>8</v>
      </c>
      <c r="O1535">
        <v>0.66</v>
      </c>
      <c r="P1535" t="s">
        <v>19</v>
      </c>
    </row>
    <row r="1536" spans="1:16" x14ac:dyDescent="0.35">
      <c r="A1536" t="s">
        <v>1562</v>
      </c>
      <c r="B1536">
        <v>1535</v>
      </c>
      <c r="C1536">
        <v>20</v>
      </c>
      <c r="D1536" t="s">
        <v>16</v>
      </c>
      <c r="E1536" t="s">
        <v>46</v>
      </c>
      <c r="F1536">
        <v>2.97</v>
      </c>
      <c r="G1536">
        <v>6</v>
      </c>
      <c r="H1536">
        <v>96.6</v>
      </c>
      <c r="I1536">
        <v>0.65</v>
      </c>
      <c r="J1536" t="s">
        <v>28</v>
      </c>
      <c r="K1536">
        <v>24</v>
      </c>
      <c r="L1536">
        <v>73</v>
      </c>
      <c r="M1536">
        <v>0.6</v>
      </c>
      <c r="N1536">
        <v>11</v>
      </c>
      <c r="O1536">
        <v>0.69</v>
      </c>
      <c r="P1536" t="s">
        <v>19</v>
      </c>
    </row>
    <row r="1537" spans="1:16" x14ac:dyDescent="0.35">
      <c r="A1537" t="s">
        <v>1563</v>
      </c>
      <c r="B1537">
        <v>1536</v>
      </c>
      <c r="C1537">
        <v>19</v>
      </c>
      <c r="D1537" t="s">
        <v>32</v>
      </c>
      <c r="E1537" t="s">
        <v>22</v>
      </c>
      <c r="F1537">
        <v>3.55</v>
      </c>
      <c r="G1537">
        <v>5</v>
      </c>
      <c r="H1537">
        <v>90.5</v>
      </c>
      <c r="I1537">
        <v>0.79</v>
      </c>
      <c r="J1537" t="s">
        <v>28</v>
      </c>
      <c r="K1537">
        <v>30</v>
      </c>
      <c r="L1537">
        <v>41</v>
      </c>
      <c r="M1537">
        <v>0.62</v>
      </c>
      <c r="N1537">
        <v>18</v>
      </c>
      <c r="O1537">
        <v>0.95</v>
      </c>
      <c r="P1537" t="s">
        <v>24</v>
      </c>
    </row>
    <row r="1538" spans="1:16" x14ac:dyDescent="0.35">
      <c r="A1538" t="s">
        <v>1564</v>
      </c>
      <c r="B1538">
        <v>1537</v>
      </c>
      <c r="C1538">
        <v>18</v>
      </c>
      <c r="D1538" t="s">
        <v>21</v>
      </c>
      <c r="E1538" t="s">
        <v>22</v>
      </c>
      <c r="F1538">
        <v>3.35</v>
      </c>
      <c r="G1538">
        <v>4</v>
      </c>
      <c r="H1538">
        <v>80.2</v>
      </c>
      <c r="I1538">
        <v>0.84</v>
      </c>
      <c r="J1538" t="s">
        <v>18</v>
      </c>
      <c r="K1538">
        <v>8</v>
      </c>
      <c r="L1538">
        <v>18</v>
      </c>
      <c r="M1538">
        <v>0.94</v>
      </c>
      <c r="N1538">
        <v>13</v>
      </c>
      <c r="O1538">
        <v>0.92</v>
      </c>
      <c r="P1538" t="s">
        <v>24</v>
      </c>
    </row>
    <row r="1539" spans="1:16" x14ac:dyDescent="0.35">
      <c r="A1539" t="s">
        <v>1565</v>
      </c>
      <c r="B1539">
        <v>1538</v>
      </c>
      <c r="C1539">
        <v>23</v>
      </c>
      <c r="D1539" t="s">
        <v>16</v>
      </c>
      <c r="E1539" t="s">
        <v>46</v>
      </c>
      <c r="F1539">
        <v>3.45</v>
      </c>
      <c r="G1539">
        <v>5</v>
      </c>
      <c r="H1539">
        <v>99.5</v>
      </c>
      <c r="I1539">
        <v>0.61</v>
      </c>
      <c r="J1539" t="s">
        <v>28</v>
      </c>
      <c r="K1539">
        <v>19</v>
      </c>
      <c r="L1539">
        <v>37</v>
      </c>
      <c r="M1539">
        <v>0.91</v>
      </c>
      <c r="N1539">
        <v>14</v>
      </c>
      <c r="O1539">
        <v>0.83</v>
      </c>
      <c r="P1539" t="s">
        <v>19</v>
      </c>
    </row>
    <row r="1540" spans="1:16" x14ac:dyDescent="0.35">
      <c r="A1540" t="s">
        <v>1566</v>
      </c>
      <c r="B1540">
        <v>1539</v>
      </c>
      <c r="C1540">
        <v>23</v>
      </c>
      <c r="D1540" t="s">
        <v>21</v>
      </c>
      <c r="E1540" t="s">
        <v>22</v>
      </c>
      <c r="F1540">
        <v>2.99</v>
      </c>
      <c r="G1540">
        <v>6</v>
      </c>
      <c r="H1540">
        <v>78.599999999999994</v>
      </c>
      <c r="I1540">
        <v>0.71</v>
      </c>
      <c r="J1540" t="s">
        <v>28</v>
      </c>
      <c r="K1540">
        <v>9</v>
      </c>
      <c r="L1540">
        <v>26</v>
      </c>
      <c r="M1540">
        <v>0.81</v>
      </c>
      <c r="N1540">
        <v>10</v>
      </c>
      <c r="O1540">
        <v>0.63</v>
      </c>
      <c r="P1540" t="s">
        <v>19</v>
      </c>
    </row>
    <row r="1541" spans="1:16" x14ac:dyDescent="0.35">
      <c r="A1541" t="s">
        <v>1567</v>
      </c>
      <c r="B1541">
        <v>1540</v>
      </c>
      <c r="C1541">
        <v>22</v>
      </c>
      <c r="D1541" t="s">
        <v>16</v>
      </c>
      <c r="E1541" t="s">
        <v>46</v>
      </c>
      <c r="F1541">
        <v>3.27</v>
      </c>
      <c r="G1541">
        <v>3</v>
      </c>
      <c r="H1541">
        <v>62.3</v>
      </c>
      <c r="I1541">
        <v>0.61</v>
      </c>
      <c r="J1541" t="s">
        <v>28</v>
      </c>
      <c r="K1541">
        <v>36</v>
      </c>
      <c r="L1541">
        <v>86</v>
      </c>
      <c r="M1541">
        <v>1</v>
      </c>
      <c r="N1541">
        <v>5</v>
      </c>
      <c r="O1541">
        <v>0.56000000000000005</v>
      </c>
      <c r="P1541" t="s">
        <v>19</v>
      </c>
    </row>
    <row r="1542" spans="1:16" x14ac:dyDescent="0.35">
      <c r="A1542" t="s">
        <v>1568</v>
      </c>
      <c r="B1542">
        <v>1541</v>
      </c>
      <c r="C1542">
        <v>24</v>
      </c>
      <c r="D1542" t="s">
        <v>21</v>
      </c>
      <c r="E1542" t="s">
        <v>46</v>
      </c>
      <c r="F1542">
        <v>3.61</v>
      </c>
      <c r="G1542">
        <v>6</v>
      </c>
      <c r="H1542">
        <v>70.5</v>
      </c>
      <c r="I1542">
        <v>0.77</v>
      </c>
      <c r="J1542" t="s">
        <v>23</v>
      </c>
      <c r="K1542">
        <v>26</v>
      </c>
      <c r="L1542">
        <v>64</v>
      </c>
      <c r="M1542">
        <v>0.87</v>
      </c>
      <c r="N1542">
        <v>13</v>
      </c>
      <c r="O1542">
        <v>0.51</v>
      </c>
      <c r="P1542" t="s">
        <v>24</v>
      </c>
    </row>
    <row r="1543" spans="1:16" x14ac:dyDescent="0.35">
      <c r="A1543" t="s">
        <v>1569</v>
      </c>
      <c r="B1543">
        <v>1542</v>
      </c>
      <c r="C1543">
        <v>24</v>
      </c>
      <c r="D1543" t="s">
        <v>16</v>
      </c>
      <c r="E1543" t="s">
        <v>46</v>
      </c>
      <c r="F1543">
        <v>2.8</v>
      </c>
      <c r="G1543">
        <v>4</v>
      </c>
      <c r="H1543">
        <v>77.400000000000006</v>
      </c>
      <c r="I1543">
        <v>0.96</v>
      </c>
      <c r="J1543" t="s">
        <v>18</v>
      </c>
      <c r="K1543">
        <v>12</v>
      </c>
      <c r="L1543">
        <v>19</v>
      </c>
      <c r="M1543">
        <v>0.61</v>
      </c>
      <c r="N1543">
        <v>2</v>
      </c>
      <c r="O1543">
        <v>0.55000000000000004</v>
      </c>
      <c r="P1543" t="s">
        <v>24</v>
      </c>
    </row>
    <row r="1544" spans="1:16" x14ac:dyDescent="0.35">
      <c r="A1544" t="s">
        <v>1570</v>
      </c>
      <c r="B1544">
        <v>1543</v>
      </c>
      <c r="C1544">
        <v>21</v>
      </c>
      <c r="D1544" t="s">
        <v>21</v>
      </c>
      <c r="E1544" t="s">
        <v>17</v>
      </c>
      <c r="F1544">
        <v>3.61</v>
      </c>
      <c r="G1544">
        <v>5</v>
      </c>
      <c r="H1544">
        <v>66.3</v>
      </c>
      <c r="I1544">
        <v>0.99</v>
      </c>
      <c r="J1544" t="s">
        <v>23</v>
      </c>
      <c r="K1544">
        <v>1</v>
      </c>
      <c r="L1544">
        <v>89</v>
      </c>
      <c r="M1544">
        <v>0.92</v>
      </c>
      <c r="N1544">
        <v>18</v>
      </c>
      <c r="O1544">
        <v>0.65</v>
      </c>
      <c r="P1544" t="s">
        <v>41</v>
      </c>
    </row>
    <row r="1545" spans="1:16" x14ac:dyDescent="0.35">
      <c r="A1545" t="s">
        <v>1571</v>
      </c>
      <c r="B1545">
        <v>1544</v>
      </c>
      <c r="C1545">
        <v>22</v>
      </c>
      <c r="D1545" t="s">
        <v>21</v>
      </c>
      <c r="E1545" t="s">
        <v>22</v>
      </c>
      <c r="F1545">
        <v>3.18</v>
      </c>
      <c r="G1545">
        <v>4</v>
      </c>
      <c r="H1545">
        <v>97.9</v>
      </c>
      <c r="I1545">
        <v>0.85</v>
      </c>
      <c r="J1545" t="s">
        <v>18</v>
      </c>
      <c r="K1545">
        <v>20</v>
      </c>
      <c r="L1545">
        <v>15</v>
      </c>
      <c r="M1545">
        <v>0.71</v>
      </c>
      <c r="N1545">
        <v>19</v>
      </c>
      <c r="O1545">
        <v>0.78</v>
      </c>
      <c r="P1545" t="s">
        <v>41</v>
      </c>
    </row>
    <row r="1546" spans="1:16" x14ac:dyDescent="0.35">
      <c r="A1546" t="s">
        <v>1572</v>
      </c>
      <c r="B1546">
        <v>1545</v>
      </c>
      <c r="C1546">
        <v>25</v>
      </c>
      <c r="D1546" t="s">
        <v>16</v>
      </c>
      <c r="E1546" t="s">
        <v>30</v>
      </c>
      <c r="F1546">
        <v>2.33</v>
      </c>
      <c r="G1546">
        <v>4</v>
      </c>
      <c r="H1546">
        <v>90.7</v>
      </c>
      <c r="I1546">
        <v>0.66</v>
      </c>
      <c r="J1546" t="s">
        <v>23</v>
      </c>
      <c r="K1546">
        <v>32</v>
      </c>
      <c r="L1546">
        <v>57</v>
      </c>
      <c r="M1546">
        <v>0.52</v>
      </c>
      <c r="N1546">
        <v>10</v>
      </c>
      <c r="O1546">
        <v>0.53</v>
      </c>
      <c r="P1546" t="s">
        <v>19</v>
      </c>
    </row>
    <row r="1547" spans="1:16" x14ac:dyDescent="0.35">
      <c r="E1547">
        <f>SUBTOTAL(103,Table1[major])</f>
        <v>1545</v>
      </c>
    </row>
  </sheetData>
  <pageMargins left="0.7" right="0.7" top="0.75" bottom="0.75" header="0.3" footer="0.3"/>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65A6A-F860-4FE8-AEF9-6DDDFD089676}">
  <dimension ref="B2:D51"/>
  <sheetViews>
    <sheetView tabSelected="1" zoomScale="64" zoomScaleNormal="64" workbookViewId="0">
      <selection activeCell="E19" sqref="E19"/>
    </sheetView>
  </sheetViews>
  <sheetFormatPr defaultRowHeight="14.5" x14ac:dyDescent="0.35"/>
  <cols>
    <col min="2" max="2" width="17.81640625" bestFit="1" customWidth="1"/>
    <col min="3" max="3" width="13.90625" bestFit="1" customWidth="1"/>
    <col min="4" max="4" width="14.08984375" bestFit="1" customWidth="1"/>
    <col min="5" max="5" width="10" bestFit="1" customWidth="1"/>
  </cols>
  <sheetData>
    <row r="2" spans="2:3" ht="15" thickBot="1" x14ac:dyDescent="0.4"/>
    <row r="3" spans="2:3" ht="15" thickBot="1" x14ac:dyDescent="0.4">
      <c r="B3" s="8" t="s">
        <v>1573</v>
      </c>
      <c r="C3" s="13" t="s">
        <v>1576</v>
      </c>
    </row>
    <row r="4" spans="2:3" ht="15" thickBot="1" x14ac:dyDescent="0.4">
      <c r="B4" s="9" t="s">
        <v>22</v>
      </c>
      <c r="C4" s="5">
        <v>2.8936956521739132</v>
      </c>
    </row>
    <row r="5" spans="2:3" x14ac:dyDescent="0.35">
      <c r="B5" s="10" t="s">
        <v>32</v>
      </c>
      <c r="C5" s="6">
        <v>2.976</v>
      </c>
    </row>
    <row r="6" spans="2:3" x14ac:dyDescent="0.35">
      <c r="B6" s="11" t="s">
        <v>21</v>
      </c>
      <c r="C6" s="6">
        <v>2.7966666666666669</v>
      </c>
    </row>
    <row r="7" spans="2:3" ht="15" thickBot="1" x14ac:dyDescent="0.4">
      <c r="B7" s="12" t="s">
        <v>16</v>
      </c>
      <c r="C7" s="6">
        <v>2.859285714285714</v>
      </c>
    </row>
    <row r="8" spans="2:3" ht="15" thickBot="1" x14ac:dyDescent="0.4">
      <c r="B8" s="9" t="s">
        <v>46</v>
      </c>
      <c r="C8" s="6">
        <v>2.9210526315789469</v>
      </c>
    </row>
    <row r="9" spans="2:3" x14ac:dyDescent="0.35">
      <c r="B9" s="10" t="s">
        <v>32</v>
      </c>
      <c r="C9" s="6">
        <v>2.8762499999999998</v>
      </c>
    </row>
    <row r="10" spans="2:3" x14ac:dyDescent="0.35">
      <c r="B10" s="11" t="s">
        <v>21</v>
      </c>
      <c r="C10" s="6">
        <v>3.0700000000000003</v>
      </c>
    </row>
    <row r="11" spans="2:3" ht="15" thickBot="1" x14ac:dyDescent="0.4">
      <c r="B11" s="12" t="s">
        <v>16</v>
      </c>
      <c r="C11" s="6">
        <v>2.8131249999999999</v>
      </c>
    </row>
    <row r="12" spans="2:3" ht="15" thickBot="1" x14ac:dyDescent="0.4">
      <c r="B12" s="9" t="s">
        <v>17</v>
      </c>
      <c r="C12" s="6">
        <v>2.9793181818181806</v>
      </c>
    </row>
    <row r="13" spans="2:3" x14ac:dyDescent="0.35">
      <c r="B13" s="10" t="s">
        <v>32</v>
      </c>
      <c r="C13" s="6">
        <v>3.0306249999999997</v>
      </c>
    </row>
    <row r="14" spans="2:3" x14ac:dyDescent="0.35">
      <c r="B14" s="11" t="s">
        <v>21</v>
      </c>
      <c r="C14" s="6">
        <v>2.9033333333333338</v>
      </c>
    </row>
    <row r="15" spans="2:3" ht="15" thickBot="1" x14ac:dyDescent="0.4">
      <c r="B15" s="12" t="s">
        <v>16</v>
      </c>
      <c r="C15" s="6">
        <v>3.0038461538461543</v>
      </c>
    </row>
    <row r="16" spans="2:3" ht="15" thickBot="1" x14ac:dyDescent="0.4">
      <c r="B16" s="9" t="s">
        <v>30</v>
      </c>
      <c r="C16" s="6">
        <v>3.0981481481481485</v>
      </c>
    </row>
    <row r="17" spans="2:4" x14ac:dyDescent="0.35">
      <c r="B17" s="10" t="s">
        <v>32</v>
      </c>
      <c r="C17" s="6">
        <v>3.1741666666666664</v>
      </c>
    </row>
    <row r="18" spans="2:4" x14ac:dyDescent="0.35">
      <c r="B18" s="11" t="s">
        <v>21</v>
      </c>
      <c r="C18" s="6">
        <v>2.9725000000000001</v>
      </c>
    </row>
    <row r="19" spans="2:4" ht="15" thickBot="1" x14ac:dyDescent="0.4">
      <c r="B19" s="12" t="s">
        <v>16</v>
      </c>
      <c r="C19" s="6">
        <v>3.1114285714285721</v>
      </c>
    </row>
    <row r="20" spans="2:4" ht="15" thickBot="1" x14ac:dyDescent="0.4">
      <c r="B20" s="9" t="s">
        <v>1574</v>
      </c>
      <c r="C20" s="7">
        <v>2.9807692307692326</v>
      </c>
    </row>
    <row r="26" spans="2:4" x14ac:dyDescent="0.35">
      <c r="B26" s="1" t="s">
        <v>1573</v>
      </c>
      <c r="C26" t="s">
        <v>1577</v>
      </c>
      <c r="D26" t="s">
        <v>1576</v>
      </c>
    </row>
    <row r="27" spans="2:4" x14ac:dyDescent="0.35">
      <c r="B27" s="2" t="s">
        <v>22</v>
      </c>
      <c r="C27" s="3">
        <v>49.170792079207921</v>
      </c>
      <c r="D27" s="3">
        <v>2.9852475247524759</v>
      </c>
    </row>
    <row r="28" spans="2:4" x14ac:dyDescent="0.35">
      <c r="B28" s="4" t="s">
        <v>28</v>
      </c>
      <c r="C28" s="3">
        <v>50.821917808219176</v>
      </c>
      <c r="D28" s="3">
        <v>2.9594520547945202</v>
      </c>
    </row>
    <row r="29" spans="2:4" x14ac:dyDescent="0.35">
      <c r="B29" s="4" t="s">
        <v>18</v>
      </c>
      <c r="C29" s="3">
        <v>47.715328467153284</v>
      </c>
      <c r="D29" s="3">
        <v>3.0011678832116795</v>
      </c>
    </row>
    <row r="30" spans="2:4" x14ac:dyDescent="0.35">
      <c r="B30" s="4" t="s">
        <v>23</v>
      </c>
      <c r="C30" s="3">
        <v>48.826446280991739</v>
      </c>
      <c r="D30" s="3">
        <v>2.9983471074380166</v>
      </c>
    </row>
    <row r="31" spans="2:4" x14ac:dyDescent="0.35">
      <c r="B31" s="2" t="s">
        <v>46</v>
      </c>
      <c r="C31" s="3">
        <v>50.282608695652172</v>
      </c>
      <c r="D31" s="3">
        <v>3.0003804347826053</v>
      </c>
    </row>
    <row r="32" spans="2:4" x14ac:dyDescent="0.35">
      <c r="B32" s="4" t="s">
        <v>28</v>
      </c>
      <c r="C32" s="3">
        <v>52.30708661417323</v>
      </c>
      <c r="D32" s="3">
        <v>2.9495275590551171</v>
      </c>
    </row>
    <row r="33" spans="2:4" x14ac:dyDescent="0.35">
      <c r="B33" s="4" t="s">
        <v>18</v>
      </c>
      <c r="C33" s="3">
        <v>48.12977099236641</v>
      </c>
      <c r="D33" s="3">
        <v>3.0099999999999989</v>
      </c>
    </row>
    <row r="34" spans="2:4" x14ac:dyDescent="0.35">
      <c r="B34" s="4" t="s">
        <v>23</v>
      </c>
      <c r="C34" s="3">
        <v>50.509090909090908</v>
      </c>
      <c r="D34" s="3">
        <v>3.0476363636363644</v>
      </c>
    </row>
    <row r="35" spans="2:4" x14ac:dyDescent="0.35">
      <c r="B35" s="2" t="s">
        <v>17</v>
      </c>
      <c r="C35" s="3">
        <v>48.645244215938305</v>
      </c>
      <c r="D35" s="3">
        <v>3.0497686375321322</v>
      </c>
    </row>
    <row r="36" spans="2:4" x14ac:dyDescent="0.35">
      <c r="B36" s="4" t="s">
        <v>28</v>
      </c>
      <c r="C36" s="3">
        <v>50.75714285714286</v>
      </c>
      <c r="D36" s="3">
        <v>3.0522142857142862</v>
      </c>
    </row>
    <row r="37" spans="2:4" x14ac:dyDescent="0.35">
      <c r="B37" s="4" t="s">
        <v>18</v>
      </c>
      <c r="C37" s="3">
        <v>47.586776859504134</v>
      </c>
      <c r="D37" s="3">
        <v>3.0444628099173552</v>
      </c>
    </row>
    <row r="38" spans="2:4" x14ac:dyDescent="0.35">
      <c r="B38" s="4" t="s">
        <v>23</v>
      </c>
      <c r="C38" s="3">
        <v>47.3359375</v>
      </c>
      <c r="D38" s="3">
        <v>3.0521093749999997</v>
      </c>
    </row>
    <row r="39" spans="2:4" x14ac:dyDescent="0.35">
      <c r="B39" s="2" t="s">
        <v>30</v>
      </c>
      <c r="C39" s="3">
        <v>49.419270833333336</v>
      </c>
      <c r="D39" s="3">
        <v>3.0143229166666643</v>
      </c>
    </row>
    <row r="40" spans="2:4" x14ac:dyDescent="0.35">
      <c r="B40" s="4" t="s">
        <v>28</v>
      </c>
      <c r="C40" s="3">
        <v>50.677165354330711</v>
      </c>
      <c r="D40" s="3">
        <v>2.9995275590551178</v>
      </c>
    </row>
    <row r="41" spans="2:4" x14ac:dyDescent="0.35">
      <c r="B41" s="4" t="s">
        <v>18</v>
      </c>
      <c r="C41" s="3">
        <v>51.967479674796749</v>
      </c>
      <c r="D41" s="3">
        <v>3.0761788617886183</v>
      </c>
    </row>
    <row r="42" spans="2:4" x14ac:dyDescent="0.35">
      <c r="B42" s="4" t="s">
        <v>23</v>
      </c>
      <c r="C42" s="3">
        <v>45.888059701492537</v>
      </c>
      <c r="D42" s="3">
        <v>2.9715671641791035</v>
      </c>
    </row>
    <row r="43" spans="2:4" x14ac:dyDescent="0.35">
      <c r="B43" s="2" t="s">
        <v>1574</v>
      </c>
      <c r="C43" s="3">
        <v>49.365048543689319</v>
      </c>
      <c r="D43" s="3">
        <v>3.0123236245954712</v>
      </c>
    </row>
    <row r="47" spans="2:4" x14ac:dyDescent="0.35">
      <c r="B47" s="1" t="s">
        <v>1573</v>
      </c>
      <c r="C47" t="s">
        <v>1576</v>
      </c>
    </row>
    <row r="48" spans="2:4" x14ac:dyDescent="0.35">
      <c r="B48" s="2" t="s">
        <v>22</v>
      </c>
      <c r="C48" s="3">
        <v>2.9852475247524768</v>
      </c>
    </row>
    <row r="49" spans="2:3" x14ac:dyDescent="0.35">
      <c r="B49" s="2" t="s">
        <v>46</v>
      </c>
      <c r="C49" s="3">
        <v>3.0003804347826071</v>
      </c>
    </row>
    <row r="50" spans="2:3" x14ac:dyDescent="0.35">
      <c r="B50" s="2" t="s">
        <v>17</v>
      </c>
      <c r="C50" s="3">
        <v>3.0497686375321322</v>
      </c>
    </row>
    <row r="51" spans="2:3" x14ac:dyDescent="0.35">
      <c r="B51" s="2" t="s">
        <v>30</v>
      </c>
      <c r="C51" s="3">
        <v>3.0143229166666647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college_student_management_data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nilofer shaikh</cp:lastModifiedBy>
  <dcterms:created xsi:type="dcterms:W3CDTF">2025-07-14T05:38:17Z</dcterms:created>
  <dcterms:modified xsi:type="dcterms:W3CDTF">2026-01-01T15:53:32Z</dcterms:modified>
</cp:coreProperties>
</file>